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Emma.S.Spady\Documents\PFAS_TK_Model\Set57_NewMatLIMdlMomM\"/>
    </mc:Choice>
  </mc:AlternateContent>
  <xr:revisionPtr revIDLastSave="0" documentId="13_ncr:1_{4BDDFFCB-86F0-4AE7-8072-EA9816357CD9}" xr6:coauthVersionLast="47" xr6:coauthVersionMax="47" xr10:uidLastSave="{00000000-0000-0000-0000-000000000000}"/>
  <bookViews>
    <workbookView xWindow="1395" yWindow="-14775" windowWidth="20670" windowHeight="13125" xr2:uid="{00000000-000D-0000-FFFF-FFFF00000000}"/>
  </bookViews>
  <sheets>
    <sheet name="ReadMe" sheetId="38" r:id="rId1"/>
    <sheet name="Scenario" sheetId="26" r:id="rId2"/>
    <sheet name="ScenSummary" sheetId="29" r:id="rId3"/>
    <sheet name="FitDistInfo" sheetId="31" r:id="rId4"/>
    <sheet name="ProjectionInfo" sheetId="30" r:id="rId5"/>
    <sheet name="AgeInfo" sheetId="35" r:id="rId6"/>
    <sheet name="MonteCarlo" sheetId="37" r:id="rId7"/>
    <sheet name="DWI" sheetId="19" r:id="rId8"/>
    <sheet name="BkgdSerum" sheetId="25" r:id="rId9"/>
    <sheet name="MatSerum" sheetId="24" r:id="rId10"/>
    <sheet name="AltParams" sheetId="32" r:id="rId11"/>
    <sheet name="EvalInfo" sheetId="36" r:id="rId12"/>
  </sheet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8" i="37" l="1"/>
  <c r="D27" i="37"/>
  <c r="D26" i="37"/>
  <c r="D25" i="37"/>
  <c r="D24" i="37"/>
  <c r="D23" i="37"/>
  <c r="D22" i="37"/>
  <c r="D21" i="37"/>
  <c r="D20" i="37"/>
  <c r="D19" i="37"/>
  <c r="D18" i="37"/>
  <c r="D17" i="37"/>
  <c r="B55" i="30" l="1"/>
  <c r="B54" i="30"/>
  <c r="B53" i="30"/>
  <c r="B52" i="30"/>
  <c r="B51" i="30"/>
  <c r="B50" i="30"/>
  <c r="B49" i="30"/>
  <c r="B48" i="30"/>
  <c r="B47" i="30"/>
  <c r="B46" i="30"/>
  <c r="B45" i="30"/>
  <c r="B44" i="30"/>
  <c r="B43" i="30"/>
  <c r="B42" i="30"/>
  <c r="B41" i="30"/>
  <c r="B40" i="30"/>
  <c r="B39" i="30"/>
  <c r="B38" i="30"/>
  <c r="B37" i="30"/>
  <c r="B36" i="30"/>
  <c r="B35" i="30"/>
  <c r="B34" i="30"/>
  <c r="B33" i="30"/>
  <c r="B32" i="30"/>
  <c r="B31" i="30"/>
  <c r="B30" i="30"/>
  <c r="B29" i="30"/>
  <c r="B28" i="30"/>
  <c r="B27" i="30"/>
  <c r="B26" i="30"/>
  <c r="B25" i="30"/>
  <c r="B24" i="30"/>
  <c r="B23" i="30"/>
  <c r="B22" i="30"/>
  <c r="B21" i="30"/>
  <c r="B20" i="30"/>
  <c r="H26" i="35"/>
  <c r="G26" i="35"/>
  <c r="F26" i="35"/>
  <c r="G25" i="35"/>
  <c r="F25" i="35"/>
  <c r="G24" i="35"/>
  <c r="F24" i="35"/>
  <c r="G23" i="35"/>
  <c r="F23" i="35"/>
  <c r="G22" i="35"/>
  <c r="F22" i="35"/>
  <c r="G21" i="35"/>
  <c r="F21" i="35"/>
  <c r="H20" i="35"/>
  <c r="G20" i="35"/>
  <c r="F20" i="35"/>
  <c r="G19" i="35"/>
  <c r="F19" i="35"/>
  <c r="G18" i="35"/>
  <c r="F18" i="35"/>
  <c r="G17" i="35"/>
  <c r="F17" i="35"/>
  <c r="H16" i="35"/>
  <c r="G16" i="35"/>
  <c r="F16" i="35"/>
  <c r="G15" i="35"/>
  <c r="F15" i="35"/>
  <c r="G14" i="35"/>
  <c r="F14" i="35"/>
  <c r="G13" i="35"/>
  <c r="F13" i="35"/>
  <c r="G12" i="35"/>
  <c r="F12" i="35"/>
  <c r="G11" i="35"/>
  <c r="F11" i="35"/>
  <c r="G10" i="35"/>
  <c r="F10" i="35"/>
  <c r="H9" i="35"/>
  <c r="G9" i="35"/>
  <c r="F9" i="35"/>
  <c r="G8" i="35"/>
  <c r="F8" i="35"/>
  <c r="G7" i="35"/>
  <c r="F7" i="35"/>
  <c r="G6" i="35"/>
  <c r="F6" i="35"/>
  <c r="G5" i="35"/>
  <c r="F5" i="35"/>
  <c r="G4" i="35"/>
  <c r="F4" i="35"/>
  <c r="G3" i="35"/>
  <c r="F3" i="35"/>
  <c r="G2" i="35"/>
  <c r="F2" i="35"/>
  <c r="B61" i="26"/>
  <c r="B60" i="26"/>
  <c r="B59" i="26"/>
  <c r="B58" i="26"/>
  <c r="B57" i="26"/>
  <c r="B56" i="26"/>
  <c r="B55"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B11" i="26"/>
  <c r="B10" i="26"/>
  <c r="B9" i="26"/>
  <c r="B8" i="26"/>
  <c r="B7" i="26"/>
  <c r="B6" i="26"/>
  <c r="B5" i="26"/>
  <c r="B4" i="26"/>
  <c r="B3" i="26"/>
  <c r="B2" i="26"/>
  <c r="A2" i="29" l="1"/>
  <c r="A60" i="29" l="1"/>
  <c r="A60" i="26" s="1"/>
  <c r="A59" i="29"/>
  <c r="A59" i="26" s="1"/>
  <c r="A58" i="29"/>
  <c r="A58" i="26" s="1"/>
  <c r="A57" i="29"/>
  <c r="A57" i="26" s="1"/>
  <c r="A56" i="29"/>
  <c r="A56" i="26" s="1"/>
  <c r="A55" i="29"/>
  <c r="A55" i="26" s="1"/>
  <c r="A54" i="29"/>
  <c r="A54" i="26" s="1"/>
  <c r="A53" i="29"/>
  <c r="A53" i="26" s="1"/>
  <c r="A52" i="29"/>
  <c r="A52" i="26" s="1"/>
  <c r="A51" i="29"/>
  <c r="A51" i="26" s="1"/>
  <c r="A50" i="29"/>
  <c r="A50" i="26" s="1"/>
  <c r="A49" i="29"/>
  <c r="A49" i="26" s="1"/>
  <c r="A48" i="29"/>
  <c r="A48" i="26" s="1"/>
  <c r="A47" i="29"/>
  <c r="A47" i="26" s="1"/>
  <c r="A46" i="29"/>
  <c r="A46" i="26" s="1"/>
  <c r="A45" i="29"/>
  <c r="A45" i="26" s="1"/>
  <c r="A44" i="29"/>
  <c r="A44" i="26" s="1"/>
  <c r="A43" i="29"/>
  <c r="A43" i="26" s="1"/>
  <c r="A42" i="29"/>
  <c r="A42" i="26" s="1"/>
  <c r="A41" i="29"/>
  <c r="A41" i="26" s="1"/>
  <c r="A40" i="29"/>
  <c r="A40" i="26" s="1"/>
  <c r="A39" i="29"/>
  <c r="A39" i="26" s="1"/>
  <c r="A38" i="29"/>
  <c r="A38" i="26" s="1"/>
  <c r="A37" i="29"/>
  <c r="A37" i="26" s="1"/>
  <c r="A36" i="29"/>
  <c r="A36" i="26" s="1"/>
  <c r="A35" i="29"/>
  <c r="A35" i="26" s="1"/>
  <c r="A34" i="29"/>
  <c r="A34" i="26" s="1"/>
  <c r="A33" i="29"/>
  <c r="A33" i="26" s="1"/>
  <c r="A32" i="29"/>
  <c r="A32" i="26" s="1"/>
  <c r="A31" i="29"/>
  <c r="A31" i="26" s="1"/>
  <c r="A30" i="29"/>
  <c r="A30" i="26" s="1"/>
  <c r="A29" i="29"/>
  <c r="A29" i="26" s="1"/>
  <c r="A28" i="29"/>
  <c r="A28" i="26" s="1"/>
  <c r="A27" i="29"/>
  <c r="A27" i="26" s="1"/>
  <c r="A26" i="29"/>
  <c r="A26" i="26" s="1"/>
  <c r="A25" i="29"/>
  <c r="A25" i="26" s="1"/>
  <c r="A24" i="29"/>
  <c r="A24" i="26" s="1"/>
  <c r="A23" i="29"/>
  <c r="A23" i="26" s="1"/>
  <c r="A22" i="29"/>
  <c r="A22" i="26" s="1"/>
  <c r="A21" i="29"/>
  <c r="A21" i="26" s="1"/>
  <c r="A20" i="29"/>
  <c r="A20" i="26" s="1"/>
  <c r="A19" i="29"/>
  <c r="A19" i="26" s="1"/>
  <c r="A18" i="29"/>
  <c r="A18" i="26" s="1"/>
  <c r="A17" i="29"/>
  <c r="A17" i="26" s="1"/>
  <c r="A16" i="29"/>
  <c r="A16" i="26" s="1"/>
  <c r="A15" i="29"/>
  <c r="A15" i="26" s="1"/>
  <c r="A14" i="29"/>
  <c r="A14" i="26" s="1"/>
  <c r="A13" i="29"/>
  <c r="A13" i="26" s="1"/>
  <c r="A12" i="29"/>
  <c r="A12" i="26" s="1"/>
  <c r="A11" i="29"/>
  <c r="A10" i="29"/>
  <c r="A10" i="26" s="1"/>
  <c r="A9" i="29"/>
  <c r="A9" i="26" s="1"/>
  <c r="A8" i="29"/>
  <c r="A8" i="26" s="1"/>
  <c r="A7" i="29"/>
  <c r="A7" i="26" s="1"/>
  <c r="A6" i="29"/>
  <c r="A6" i="26" s="1"/>
  <c r="A5" i="29"/>
  <c r="A5" i="26" s="1"/>
  <c r="A4" i="29"/>
  <c r="A4" i="26" s="1"/>
  <c r="A3" i="29"/>
  <c r="A3" i="26" s="1"/>
  <c r="A2" i="26"/>
  <c r="A61" i="29"/>
  <c r="A61" i="26" s="1"/>
  <c r="B9" i="30" l="1"/>
  <c r="B15" i="30"/>
  <c r="B19" i="30"/>
  <c r="B13" i="30"/>
  <c r="B18" i="30"/>
  <c r="B12" i="30"/>
  <c r="B17" i="30"/>
  <c r="B11" i="30"/>
  <c r="B16" i="30"/>
  <c r="B10" i="30"/>
  <c r="B3" i="30"/>
  <c r="B7" i="30"/>
  <c r="B6" i="30"/>
  <c r="B5" i="30"/>
  <c r="B4" i="30"/>
  <c r="A11" i="26" l="1"/>
  <c r="B2" i="30" l="1"/>
  <c r="B14" i="30"/>
  <c r="B8" i="30"/>
  <c r="N13" i="25" l="1"/>
  <c r="M13" i="25"/>
  <c r="N12" i="25"/>
  <c r="M12" i="25"/>
  <c r="N11" i="25"/>
  <c r="M11" i="25"/>
  <c r="N10" i="25"/>
  <c r="M10" i="25"/>
  <c r="N8" i="25"/>
  <c r="M8" i="25"/>
  <c r="N9" i="25"/>
  <c r="M9" i="25"/>
  <c r="H13" i="25"/>
  <c r="G13" i="25"/>
  <c r="H12" i="25"/>
  <c r="G12" i="25"/>
  <c r="H11" i="25"/>
  <c r="G11" i="25"/>
  <c r="H10" i="25"/>
  <c r="G10" i="25"/>
  <c r="H9" i="25"/>
  <c r="G9" i="25"/>
  <c r="H8" i="25"/>
  <c r="G8" i="25"/>
  <c r="B16" i="19" l="1"/>
  <c r="B17" i="19" s="1"/>
  <c r="B19" i="19"/>
  <c r="B20" i="19" s="1"/>
  <c r="B21" i="19" s="1"/>
  <c r="B22" i="19" s="1"/>
  <c r="A25" i="19" l="1"/>
  <c r="A26" i="19" s="1"/>
  <c r="A27" i="19" s="1"/>
  <c r="A28" i="19" s="1"/>
  <c r="A29" i="19" l="1"/>
  <c r="A30" i="19" s="1"/>
  <c r="A31" i="19" s="1"/>
  <c r="A32" i="19" s="1"/>
  <c r="A33" i="19" s="1"/>
  <c r="B29" i="19" s="1"/>
  <c r="B30" i="19" s="1"/>
  <c r="B31" i="19" s="1"/>
  <c r="B32" i="19" s="1"/>
  <c r="B24" i="19"/>
  <c r="B25" i="19" s="1"/>
  <c r="B26" i="19" s="1"/>
  <c r="B27" i="19" s="1"/>
  <c r="A34" i="19" l="1"/>
  <c r="A35" i="19" s="1"/>
  <c r="A36" i="19" s="1"/>
  <c r="A37" i="19" s="1"/>
  <c r="A38" i="19" s="1"/>
  <c r="A39" i="19" s="1"/>
  <c r="A40" i="19" s="1"/>
  <c r="A41" i="19" s="1"/>
  <c r="A42" i="19" s="1"/>
  <c r="B34" i="19" s="1"/>
  <c r="B35" i="19" s="1"/>
  <c r="B36" i="19" s="1"/>
  <c r="B37" i="19" s="1"/>
  <c r="B38" i="19" s="1"/>
  <c r="B39" i="19" s="1"/>
  <c r="B40" i="19" s="1"/>
  <c r="B41" i="19" s="1"/>
  <c r="A43" i="19" l="1"/>
  <c r="A44" i="19" s="1"/>
  <c r="A45" i="19" s="1"/>
  <c r="A46" i="19" s="1"/>
  <c r="A47" i="19" s="1"/>
  <c r="A48" i="19" s="1"/>
  <c r="A49" i="19" s="1"/>
  <c r="A50" i="19" s="1"/>
  <c r="A51" i="19" s="1"/>
  <c r="A52" i="19" s="1"/>
  <c r="B43" i="19" s="1"/>
  <c r="B44" i="19" s="1"/>
  <c r="B45" i="19" s="1"/>
  <c r="B46" i="19" s="1"/>
  <c r="B47" i="19" s="1"/>
  <c r="B48" i="19" s="1"/>
  <c r="B49" i="19" s="1"/>
  <c r="B50" i="19" s="1"/>
  <c r="B51" i="19" s="1"/>
  <c r="A53" i="19" l="1"/>
  <c r="A54" i="19" s="1"/>
  <c r="A55" i="19" s="1"/>
  <c r="A56" i="19" s="1"/>
  <c r="A57" i="19" s="1"/>
  <c r="A58" i="19" s="1"/>
  <c r="A59" i="19" s="1"/>
  <c r="A60" i="19" s="1"/>
  <c r="A61" i="19" s="1"/>
  <c r="A62" i="19" s="1"/>
  <c r="B53" i="19" s="1"/>
  <c r="B54" i="19" s="1"/>
  <c r="B55" i="19" s="1"/>
  <c r="B56" i="19" s="1"/>
  <c r="B57" i="19" s="1"/>
  <c r="B58" i="19" s="1"/>
  <c r="B59" i="19" s="1"/>
  <c r="B60" i="19" s="1"/>
  <c r="B61" i="19" s="1"/>
  <c r="A63" i="19" l="1"/>
  <c r="A64" i="19" s="1"/>
  <c r="A65" i="19" s="1"/>
  <c r="A66" i="19" s="1"/>
  <c r="A67" i="19" s="1"/>
  <c r="A68" i="19" s="1"/>
  <c r="A69" i="19" s="1"/>
  <c r="A70" i="19" s="1"/>
  <c r="A71" i="19" s="1"/>
  <c r="A72" i="19" s="1"/>
  <c r="B63" i="19" s="1"/>
  <c r="B64" i="19" s="1"/>
  <c r="B65" i="19" s="1"/>
  <c r="B66" i="19" s="1"/>
  <c r="B67" i="19" s="1"/>
  <c r="B68" i="19" s="1"/>
  <c r="B69" i="19" s="1"/>
  <c r="B70" i="19" s="1"/>
  <c r="B71" i="19" s="1"/>
  <c r="A73" i="19" l="1"/>
  <c r="A74" i="19" s="1"/>
  <c r="A75" i="19" s="1"/>
  <c r="A76" i="19" s="1"/>
  <c r="A77" i="19" s="1"/>
  <c r="A78" i="19" s="1"/>
  <c r="A79" i="19" s="1"/>
  <c r="A80" i="19" s="1"/>
  <c r="A81" i="19" s="1"/>
  <c r="A82" i="19" s="1"/>
  <c r="B73" i="19" s="1"/>
  <c r="B74" i="19" s="1"/>
  <c r="B75" i="19" s="1"/>
  <c r="B76" i="19" s="1"/>
  <c r="B77" i="19" s="1"/>
  <c r="B78" i="19" s="1"/>
  <c r="B79" i="19" s="1"/>
  <c r="B80" i="19" s="1"/>
  <c r="B81" i="19" s="1"/>
  <c r="A83" i="19" l="1"/>
  <c r="A84" i="19" s="1"/>
  <c r="A85" i="19" s="1"/>
  <c r="A86" i="19" s="1"/>
  <c r="A87" i="19" s="1"/>
  <c r="A88" i="19" s="1"/>
  <c r="A89" i="19" s="1"/>
  <c r="A90" i="19" s="1"/>
  <c r="A91" i="19" s="1"/>
  <c r="A92" i="19" s="1"/>
  <c r="B83" i="19" l="1"/>
  <c r="B84" i="19" s="1"/>
  <c r="B85" i="19" s="1"/>
  <c r="B86" i="19" s="1"/>
  <c r="B87" i="19" s="1"/>
  <c r="B88" i="19" s="1"/>
  <c r="B89" i="19" s="1"/>
  <c r="B90" i="19" s="1"/>
  <c r="B91" i="19" s="1"/>
  <c r="B93" i="19"/>
  <c r="B94" i="19" s="1"/>
  <c r="B95" i="19" s="1"/>
  <c r="B96" i="19" s="1"/>
  <c r="B97" i="19" s="1"/>
  <c r="B98" i="19" s="1"/>
  <c r="B99" i="19" s="1"/>
  <c r="B100" i="19" s="1"/>
  <c r="B101" i="19" s="1"/>
  <c r="B102" i="19" s="1"/>
  <c r="B103" i="19" s="1"/>
  <c r="B104" i="19" s="1"/>
  <c r="B105" i="19" s="1"/>
  <c r="B106" i="19" s="1"/>
  <c r="B107" i="19" s="1"/>
  <c r="B108" i="19" s="1"/>
  <c r="B109" i="19" s="1"/>
  <c r="B110" i="19" s="1"/>
  <c r="B111" i="19" s="1"/>
  <c r="B112" i="19" s="1"/>
  <c r="B113" i="19" s="1"/>
  <c r="A93" i="19"/>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alcChain>
</file>

<file path=xl/sharedStrings.xml><?xml version="1.0" encoding="utf-8"?>
<sst xmlns="http://schemas.openxmlformats.org/spreadsheetml/2006/main" count="2368" uniqueCount="587">
  <si>
    <t>DWI</t>
  </si>
  <si>
    <t>NA</t>
  </si>
  <si>
    <t>Chemical</t>
  </si>
  <si>
    <t>PFOA</t>
  </si>
  <si>
    <t>PFOS</t>
  </si>
  <si>
    <t>PFNA</t>
  </si>
  <si>
    <t>PFHxS</t>
  </si>
  <si>
    <t>PlacXfer</t>
  </si>
  <si>
    <t>Variable</t>
  </si>
  <si>
    <t>Tab Description</t>
  </si>
  <si>
    <t>Variable Description</t>
  </si>
  <si>
    <t>Mean</t>
  </si>
  <si>
    <t>Sd</t>
  </si>
  <si>
    <t>Distribution</t>
  </si>
  <si>
    <t>Normal</t>
  </si>
  <si>
    <t>sd_multiplier</t>
  </si>
  <si>
    <t>MonteCarlo</t>
  </si>
  <si>
    <t>DWI_mL_kg_d</t>
  </si>
  <si>
    <t>EFH_bin</t>
  </si>
  <si>
    <t>1 to &lt;2 years</t>
  </si>
  <si>
    <t>2 to &lt;3 years</t>
  </si>
  <si>
    <t>3 to &lt;6 years</t>
  </si>
  <si>
    <t>6 to &lt;11 years</t>
  </si>
  <si>
    <t>11 to &lt;16 years</t>
  </si>
  <si>
    <t>16 to &lt;21 years</t>
  </si>
  <si>
    <t>21 to &lt;30 years</t>
  </si>
  <si>
    <t>30 to &lt;40 years</t>
  </si>
  <si>
    <t>40 to &lt;50 years</t>
  </si>
  <si>
    <t>50 to &lt;60 years</t>
  </si>
  <si>
    <t>60 to &lt;70 years</t>
  </si>
  <si>
    <t>70 to &lt;80 years</t>
  </si>
  <si>
    <t>80+ years</t>
  </si>
  <si>
    <t>meanlog</t>
  </si>
  <si>
    <t>sdlog</t>
  </si>
  <si>
    <t>SourceModel</t>
  </si>
  <si>
    <t>PFHpA</t>
  </si>
  <si>
    <t>PFDA</t>
  </si>
  <si>
    <t>Lognormal_geommean</t>
  </si>
  <si>
    <t>Lognormal_meanlog</t>
  </si>
  <si>
    <t>LactXfer</t>
  </si>
  <si>
    <t>0 to &lt;1 months</t>
  </si>
  <si>
    <t>1 to &lt;3 months</t>
  </si>
  <si>
    <t>3 to &lt;6 months</t>
  </si>
  <si>
    <t>6 to &lt;12 months</t>
  </si>
  <si>
    <t>DWIaf_Infant</t>
  </si>
  <si>
    <t>Age_Years</t>
  </si>
  <si>
    <t>StartDate</t>
  </si>
  <si>
    <t>BkgdMA_Mean</t>
  </si>
  <si>
    <t>BkgdMA_Sd</t>
  </si>
  <si>
    <t>BkgdFA_Mean</t>
  </si>
  <si>
    <t>BkgdFA_Sd</t>
  </si>
  <si>
    <t>BkgdMC_Mean</t>
  </si>
  <si>
    <t>BkgdMC_Sd</t>
  </si>
  <si>
    <t>BkgdFC_Mean</t>
  </si>
  <si>
    <t>BkgdFC_Sd</t>
  </si>
  <si>
    <t>BkgdUA_Mean</t>
  </si>
  <si>
    <t>BkgdUA_Sd</t>
  </si>
  <si>
    <t>BkgdUC_Mean</t>
  </si>
  <si>
    <t>BkgdUC_Sd</t>
  </si>
  <si>
    <t>ParmType</t>
  </si>
  <si>
    <t>TotalSerum</t>
  </si>
  <si>
    <t>BkgdSerum</t>
  </si>
  <si>
    <t>WaterID</t>
  </si>
  <si>
    <t>MilkDecline</t>
  </si>
  <si>
    <t>1960-01-01</t>
  </si>
  <si>
    <t>HalfLife</t>
  </si>
  <si>
    <t>VolDist</t>
  </si>
  <si>
    <t>BirthLoss</t>
  </si>
  <si>
    <t>DWIaf_ChildAdult</t>
  </si>
  <si>
    <t>DWIaf_Teen</t>
  </si>
  <si>
    <t>Gamma</t>
  </si>
  <si>
    <t>1850-01-01</t>
  </si>
  <si>
    <t>None</t>
  </si>
  <si>
    <t>chemical</t>
  </si>
  <si>
    <t>water_concs</t>
  </si>
  <si>
    <t>water_concs_dates</t>
  </si>
  <si>
    <t>mom_water_conc</t>
  </si>
  <si>
    <t>mom_serum_method</t>
  </si>
  <si>
    <t>gender</t>
  </si>
  <si>
    <t>fed_mo</t>
  </si>
  <si>
    <t>niter</t>
  </si>
  <si>
    <t>sd</t>
  </si>
  <si>
    <t>ed</t>
  </si>
  <si>
    <t>timezoom_start</t>
  </si>
  <si>
    <t>timezoom_end</t>
  </si>
  <si>
    <t>timezoom_interval</t>
  </si>
  <si>
    <t>saved_dates</t>
  </si>
  <si>
    <t>all</t>
  </si>
  <si>
    <t>id</t>
  </si>
  <si>
    <t>Scenario</t>
  </si>
  <si>
    <t>Tab Name</t>
  </si>
  <si>
    <t>Scenario tab:</t>
  </si>
  <si>
    <t>Important notes</t>
  </si>
  <si>
    <t>Format Notes</t>
  </si>
  <si>
    <t>MatSerum</t>
  </si>
  <si>
    <t>filegroup</t>
  </si>
  <si>
    <t>Fraction</t>
  </si>
  <si>
    <t>MaxAge</t>
  </si>
  <si>
    <t>MinAge</t>
  </si>
  <si>
    <t>FileGroup</t>
  </si>
  <si>
    <t>Uniform</t>
  </si>
  <si>
    <t>Param1</t>
  </si>
  <si>
    <t>Param2</t>
  </si>
  <si>
    <t>Param3</t>
  </si>
  <si>
    <t>Triangular</t>
  </si>
  <si>
    <t>String exactly matching a distribution name specified in make_rnd() function. Often "Lognormal_geommean", "Normal", or "None"</t>
  </si>
  <si>
    <t>Distribution shape to use for the variable</t>
  </si>
  <si>
    <t>Numeric</t>
  </si>
  <si>
    <t>parm3 as imported to the make_rnd() function. Meaning depends on Distribution entry; see 'Distribution Options' heading above. Currently only used for mode in the triangular distribution.</t>
  </si>
  <si>
    <t>Parm3</t>
  </si>
  <si>
    <t>parm2 as imported to the make_rnd() function. Meaning depends on Distribution entry; see 'Distribution Options' heading above. Typically the geometric or arithmetic standard deviation.</t>
  </si>
  <si>
    <t>Parm2_Sd</t>
  </si>
  <si>
    <t>parm1 as imported to the make_rnd() function. Meaning depends on Distribution entry; see 'Distribution Options' heading above. Typically the geometric or arithmetic mean.</t>
  </si>
  <si>
    <t>Parm1_Mean</t>
  </si>
  <si>
    <t>Must match a column in the MC_vars table, which generally match Variable names in the MonteCarlo tab</t>
  </si>
  <si>
    <t>Alternative parameter name</t>
  </si>
  <si>
    <t>Must match an ID from Scenario tab 'id' column exactly</t>
  </si>
  <si>
    <t>Scenario using the alternative parameter</t>
  </si>
  <si>
    <t>ScenarioID</t>
  </si>
  <si>
    <t>AltParams tab:</t>
  </si>
  <si>
    <t>For record-keeping purposes only</t>
  </si>
  <si>
    <t>Information about the model used to generate the maternal serum distribution</t>
  </si>
  <si>
    <t>String exactly matching a distribution name specified in make_rnd() function. Often "Lognormal_meanlog"</t>
  </si>
  <si>
    <t>Distribution shape to use for the maternal serum</t>
  </si>
  <si>
    <t>Numeric. Will be entered as parm2 in make_rnd()</t>
  </si>
  <si>
    <t>Typically, the natural logarithm of the geometric standard deviation of maternal serum. Meaning can change depending on distribution shape.</t>
  </si>
  <si>
    <t>Numeric. Will be entered as parm1 in make_rnd()</t>
  </si>
  <si>
    <t>Typically, the natural logarithm of the geometric mean of maternal serum. Meaning can change depending on distribution shape.</t>
  </si>
  <si>
    <t>May be a number representing a ppt water exposure, or a string representing a specific maternal scenario. Will be matched exactly against "mom_water_conc" from the Scenario tab.</t>
  </si>
  <si>
    <t>An ID for the exposure conditions under which this maternal serum distribution was calculated</t>
  </si>
  <si>
    <t>Will be matched exactly against 'chemical' in the Scenario tab.</t>
  </si>
  <si>
    <t>The PFAS for which this value will be used.</t>
  </si>
  <si>
    <t>Is "TotalSerum"; for other values, see other sub tables</t>
  </si>
  <si>
    <t>Denotes how columns are used in code</t>
  </si>
  <si>
    <t>The maternal distribution can also be defined from observed data, which can assist in model evaluation.</t>
  </si>
  <si>
    <t>Maternal distributions may be created by fitting earlier model results to a parametric distribution, often the lognormal distribution.</t>
  </si>
  <si>
    <t xml:space="preserve">They directly define the maternal serum PFAS distribution used in a particular scenario. </t>
  </si>
  <si>
    <t>These parameters are referenced if the scenario's "mom_serum_method" is set to "lookup".</t>
  </si>
  <si>
    <t>For ParmType "TotalSerum":</t>
  </si>
  <si>
    <t>Currently set to "NA". Could hold information on the study or source of the background value</t>
  </si>
  <si>
    <t>String exactly matching a distribution name specified in make_rnd() function. Often "Lognormal_geommean"</t>
  </si>
  <si>
    <t>Distribution shape for the maternal PFAS background</t>
  </si>
  <si>
    <t>Typically, the geometric standard deviation of the mother's background serum PFAS. Currently using the default female adult background.</t>
  </si>
  <si>
    <t>Typically, the geometric mean of the mother's background serum PFAS. Currently using the default female adult background.</t>
  </si>
  <si>
    <t>Maternal water exposure does not affect background serum, because in this model background serum is defined as serum PFAS that does not originate from water consumption.</t>
  </si>
  <si>
    <t>Should be set to "NA", as this is not applicable</t>
  </si>
  <si>
    <t>Is "BkgdSerum"; for other values, see other sub tables</t>
  </si>
  <si>
    <t>The maternal background serum PFAS is used along with other parameters to calculate a steady-state estimate of the maternal serum distribution at the time of the receptor's birth.</t>
  </si>
  <si>
    <t>They define a receptor's mother's background serum PFAS, meaning the mother's serum PFAS not originating from drinking water or maternal exposure.</t>
  </si>
  <si>
    <t>These parameters are referenced if the scenario's "mom_serum_method" is set to "steadystate".</t>
  </si>
  <si>
    <t>For ParmType "BkgdSerum":</t>
  </si>
  <si>
    <t>Documentation for the logspline method is in progress. Very briefly, the logspline provides a more flexible density function fit for a maternal serum distribution. The logspline distribution can then generate total maternal serum directly, much like the 'lookup' method</t>
  </si>
  <si>
    <t xml:space="preserve">When "mom_serum_method" is set to "logspline", no parameters from this table are used. </t>
  </si>
  <si>
    <t>The meaning of the cells depends on the entry in "ParmType".</t>
  </si>
  <si>
    <t>This tab contains two types of information used to generate maternal serum distributions.</t>
  </si>
  <si>
    <t>MatSerum tab:</t>
  </si>
  <si>
    <t>String exactly matching a distribution name specified in make_rnd() function. Often "Lognormal_geommean" or "None"</t>
  </si>
  <si>
    <t>Background serum geometric standard deviation for children of unknown sex</t>
  </si>
  <si>
    <t>Background serum geometric mean for children of unknown sex</t>
  </si>
  <si>
    <t>Background serum geometric standard deviation for male children</t>
  </si>
  <si>
    <t>Background serum geometric mean for male children</t>
  </si>
  <si>
    <t>Background serum geometric standard deviation for female children</t>
  </si>
  <si>
    <t>Background serum geometric mean for female children</t>
  </si>
  <si>
    <t>Background serum geometric standard deviation for adults of unknown sex</t>
  </si>
  <si>
    <t>Background serum geometric mean for adults of unknown sex</t>
  </si>
  <si>
    <t>Background serum geometric standard deviation for male adults</t>
  </si>
  <si>
    <t>Background serum geometric mean for male adults</t>
  </si>
  <si>
    <t>Background serum geometric standard deviation for female adults</t>
  </si>
  <si>
    <t>Background serum geometric mean for female adults</t>
  </si>
  <si>
    <t>Earliest date must precede model start date (sd). Format YYYY-MM-DD. Enter as text using leading apostrophe.</t>
  </si>
  <si>
    <t>The date at which this background value should begin to be used</t>
  </si>
  <si>
    <t xml:space="preserve">Here, "adults" means simulated receptors who are 12 years of age or older. "Children" means simulated receptors under 12 years old. </t>
  </si>
  <si>
    <t>This defines the distributional background serum level in the model</t>
  </si>
  <si>
    <t>BkgdSerum tab:</t>
  </si>
  <si>
    <t>Unitless ratio</t>
  </si>
  <si>
    <t>Fraction of body mass lost during parturition</t>
  </si>
  <si>
    <t>Fraction of maternal serum PFAS transferred to fetal serum</t>
  </si>
  <si>
    <t>Fraction of maternal serum PFAS lost after 6 months of breastfeeding</t>
  </si>
  <si>
    <t>Fraction of maternal serum PFAS transferred to breast milk</t>
  </si>
  <si>
    <t>Drinking water adjustment factor for youths</t>
  </si>
  <si>
    <t>Drinking water adjustment factor for children and adults</t>
  </si>
  <si>
    <t>Drinking water adjustment factor for infants</t>
  </si>
  <si>
    <t>L/kg</t>
  </si>
  <si>
    <t>Chemical volume of distribution per kilogram</t>
  </si>
  <si>
    <t>Years</t>
  </si>
  <si>
    <t>Chemical half-life</t>
  </si>
  <si>
    <t>Units</t>
  </si>
  <si>
    <t>Description</t>
  </si>
  <si>
    <t>Variables by Name</t>
  </si>
  <si>
    <t>This column is not read directly into R, so no particular format is needed</t>
  </si>
  <si>
    <t>Multiplier used to calculate standard deviation in some rows, when the standard deviation is estimated as a percentage of the mean</t>
  </si>
  <si>
    <t>Each entry in 'Variable' must be unique for its 'Chemical'</t>
  </si>
  <si>
    <t>Name of the distributional variable generated</t>
  </si>
  <si>
    <t>Will be matched exactly against 'chemical' in the Scenario tab. If "NA" or blank, the value will be used for all PFAS</t>
  </si>
  <si>
    <t>The PFAS for which this value will be used. If the variable is not chemical-specific, enter "NA".</t>
  </si>
  <si>
    <t>This table defines most of the distributional parameters in the model, hence the name</t>
  </si>
  <si>
    <t>MonteCarlo tab:</t>
  </si>
  <si>
    <t>For triangular distribution, this is the mode, which I set to minimum age plus 0.1. For other distribution shapes, see parm3 in make_rnd() function</t>
  </si>
  <si>
    <t>Parameter 3 for this distribution section</t>
  </si>
  <si>
    <t>Parameter 2 for this distribution section</t>
  </si>
  <si>
    <t>For uniform distribution, the minimum age. For other distribution shapes, see parm1 in make_rnd() function</t>
  </si>
  <si>
    <t>Parameter 1 for this distribution section</t>
  </si>
  <si>
    <t>String exactly matching a distribution name specified in make_rnd() function. Often "Uniform", "Triangular", or "None"</t>
  </si>
  <si>
    <t>Shape of the distribution for this section</t>
  </si>
  <si>
    <t>Fraction of iterations to assign to this distribution section</t>
  </si>
  <si>
    <t>Not used by R to make the distribution; cell referenced by Param2 column</t>
  </si>
  <si>
    <t>Maximum age for distribution section</t>
  </si>
  <si>
    <t>Not used by R to make the distribution; cell referenced by Param1 column</t>
  </si>
  <si>
    <t>Minimum age for distribution section</t>
  </si>
  <si>
    <t>Must match a 'filegroup' entry from the Scenario tab.</t>
  </si>
  <si>
    <t>Group identifier for scenarios with this age distribution</t>
  </si>
  <si>
    <t>These years are then pasted into the model start date (sd in Scenario tab). Age distribution currently only varies by whole year.</t>
  </si>
  <si>
    <t>Birth year is calculated by subtracting the age from the year of the model end date (ed in Scenario tab).</t>
  </si>
  <si>
    <t>Ages generated by each distribution section are rounded down to the nearest whole year, in keeping with convention about human age.</t>
  </si>
  <si>
    <t>In this model, each age range becomes a distribution section as defined by a separate row in this table. The sections are then combined to represent receptor ages in a scenario.</t>
  </si>
  <si>
    <t>Age ranges in studies are often described by a fraction of known receptors being within a particular age range, with no further information.</t>
  </si>
  <si>
    <t>AgeInfo tab:</t>
  </si>
  <si>
    <t>Bin group information from the original data table</t>
  </si>
  <si>
    <t>Drinking water intake in mL/(kg*day) associated with age</t>
  </si>
  <si>
    <t>Receptor age in years</t>
  </si>
  <si>
    <t>Excel formulae interpolate drinking water intake between the known ages</t>
  </si>
  <si>
    <t>This table uses mean weight-adjusted drinking water intake data from the 2019 Exposure Factors Handbook Table 3-21</t>
  </si>
  <si>
    <t>DWI tab:</t>
  </si>
  <si>
    <t>Either "all" or dates of format YYYY-MM-DD. Separate values with ',' and no space. Enter as text using leading apostrophe.</t>
  </si>
  <si>
    <t>A subset of dates to save. Helpful in very large model runs to shrink file sizes</t>
  </si>
  <si>
    <t>Interval for the more frequent serum estimations and parameter updates</t>
  </si>
  <si>
    <t>Format YYYY-MM-DD. Enter as text using leading apostrophe.</t>
  </si>
  <si>
    <t>Date to end more frequent serum estimations and parameter updates</t>
  </si>
  <si>
    <t>Date to begin more frequent serum estimations and parameter updates</t>
  </si>
  <si>
    <t>Model end date. Will be included in the dateset</t>
  </si>
  <si>
    <t>Model start date, representing receptor's day of birth. When age is varied, the year will be replaced between iterations, but the month and day will remain the same.</t>
  </si>
  <si>
    <t>Must be an integer</t>
  </si>
  <si>
    <t>Number of iterations to generate</t>
  </si>
  <si>
    <t>Does not need to be an integer, but model cannot update liquid intake type more frequently than once per month unless timezoom is used</t>
  </si>
  <si>
    <t>Number of months during which the receptor was breastfed</t>
  </si>
  <si>
    <t>Must exactly match one of the strings 'Female', 'Male', or 'Unknown'.</t>
  </si>
  <si>
    <t>Receptor gender</t>
  </si>
  <si>
    <t>Must exactly match one of the strings 'steadystate', 'lookup', or 'logspline'.</t>
  </si>
  <si>
    <t>Method for estimating maternal serum PFAS</t>
  </si>
  <si>
    <t xml:space="preserve">String or strings separated by commas and no spaces that exactly match distribution names specified in make_rnd() function. If the distribution shape will be the same for all water_concs, that one name can be entered.  Often "None" or "Lognormal_geommean". </t>
  </si>
  <si>
    <t xml:space="preserve">Distribution shape(s) for water concentrations. </t>
  </si>
  <si>
    <t>water_concs_dists</t>
  </si>
  <si>
    <t xml:space="preserve">Separate values with ',' and no space. Enter as text using leading apostrophe. If distribution shape will be "None", any single value can be entered as a placeholder. </t>
  </si>
  <si>
    <t>Standard deviation for water concentrations. Values will be separated and then used as parm2 in make_rnd()</t>
  </si>
  <si>
    <t>water_concs_sds</t>
  </si>
  <si>
    <t xml:space="preserve">Earliest date must precede model start date (sd). Format YYYY-MM-DD. Separate values with ',' and no space. Enter as text using leading apostrophe. </t>
  </si>
  <si>
    <t>Starting dates for water concentrations. Will be added to dateset</t>
  </si>
  <si>
    <t>Separate values with ',' and no space. Enter as text using leading apostrophe.</t>
  </si>
  <si>
    <t>Water concentrations in ng/L (ppt). Values will be separated and then used as parm1 in make_rnd()</t>
  </si>
  <si>
    <t>Must match value and case of 'Chemical' columns in MonteCarlo and BkgdSerum tabs</t>
  </si>
  <si>
    <t>PFAS considered in the scenario</t>
  </si>
  <si>
    <t>Unique ID for each scenario</t>
  </si>
  <si>
    <t>Serum is always calculated at each date in the dateset, even if only a selection of dates are saved to the output using the saved_dates entry</t>
  </si>
  <si>
    <t xml:space="preserve">The dateset refers to the dates at which serum is observed and parameters (such as liquid intake and water concentration) are updated. </t>
  </si>
  <si>
    <t>Do not use spaces in between dates or other inputs that are multiple variables, only commas.</t>
  </si>
  <si>
    <t>Mode</t>
  </si>
  <si>
    <t>Maximum</t>
  </si>
  <si>
    <t>Minimum</t>
  </si>
  <si>
    <t>Value</t>
  </si>
  <si>
    <t>Rate</t>
  </si>
  <si>
    <t>Shape</t>
  </si>
  <si>
    <t>Scale</t>
  </si>
  <si>
    <t>Weibull</t>
  </si>
  <si>
    <t>Natural logarithm of the geometric standard deviation</t>
  </si>
  <si>
    <t>Natural logarithm of the geometric mean</t>
  </si>
  <si>
    <t>Geometric standard deviation</t>
  </si>
  <si>
    <t>Geometric mean</t>
  </si>
  <si>
    <t>Arithmetic standard deviation</t>
  </si>
  <si>
    <t>Arithmetic mean</t>
  </si>
  <si>
    <t>Parm3 Definition</t>
  </si>
  <si>
    <t>Parm2 Definition</t>
  </si>
  <si>
    <t>Parm1 Definition</t>
  </si>
  <si>
    <t>Distribution Names</t>
  </si>
  <si>
    <t>An example of this can be found in MonteCarlo tab in the Variable DWIaf_Teen, which uses a gamma distribution. This row uses the "Mean" and "Sd" columns to store the gamma distribution's shape and rate, respectively.</t>
  </si>
  <si>
    <t>But if you enter a different distribution name, the code can seamlessly use the other distribution as long as you choose appropriate values in the parm1 and parm2 slots</t>
  </si>
  <si>
    <t>Often, the parm1, parm2, and parm3 have a column name reflecting their meaning in the most commonly used distribution in that area of the model</t>
  </si>
  <si>
    <t>Enter a distribution name exactly, and the parm1, parm2 and parm3 will be used to define the distribution.</t>
  </si>
  <si>
    <t>The 'Distribution Names' column below shows the case-sensitive strings that make_rnd() can recognize as distribution shapes.</t>
  </si>
  <si>
    <t>Many entries in the following tables pass their values to make_rnd(). The operation that make_rnd() performs depends on the selected distribution shape.</t>
  </si>
  <si>
    <t xml:space="preserve">The function make_rnd() generates random numbers for use as distributional parameters in each of the model iterations. </t>
  </si>
  <si>
    <t>Distribution Options</t>
  </si>
  <si>
    <t xml:space="preserve">A "numeric" is a term for numbers, as a data entry type. </t>
  </si>
  <si>
    <t>A "string" is a term for alphabet characters, as a data entry type. Combinations of letters and numbers, such as 'Serum90p', will typically be read as a string in R.</t>
  </si>
  <si>
    <t>Cells may need to begin with a single apostrophe (') to avoid inappropriate format conversions. I call this a 'leading apostrophe'</t>
  </si>
  <si>
    <t>Excel formulae can be used to generate values. The final value will be input into the model, not the original formula</t>
  </si>
  <si>
    <t>R is generally case-sensitive, meaning it does not read capital and lowercase letters as the same. Be aware of the capitalization of inputs and follow case exactly where specified to avoid errors.</t>
  </si>
  <si>
    <t>General Notes</t>
  </si>
  <si>
    <t>Sets alternate parameters by scenario name</t>
  </si>
  <si>
    <t>AltParams</t>
  </si>
  <si>
    <t>Defines 'background' serum PFAS distributions by date, gender, and 'adult' or 'child' status</t>
  </si>
  <si>
    <t>Defines many distributional model parameters, such as half-life and volume of distribution</t>
  </si>
  <si>
    <t>Defines optional receptor age distributions</t>
  </si>
  <si>
    <t>AgeInfo</t>
  </si>
  <si>
    <t>Defines mean weight-adjusted drinking water intake by age</t>
  </si>
  <si>
    <t>Sets up model runs with parameters most commonly changed between scenarios, such as water concentrations and dates of interest</t>
  </si>
  <si>
    <t>Describes the inputs in each tab, along with formatting requirements for these inputs</t>
  </si>
  <si>
    <t>ReadMe</t>
  </si>
  <si>
    <t>This purpose of this model is to calculate the amount of PFAS in the serum of a population, given their tap water concentration over time and characteristics of the population.</t>
  </si>
  <si>
    <t>Inputs for a Toxicokinetic Model Predicting PFAS Chemicals in Blood Serum from Drinking Water Exposure</t>
  </si>
  <si>
    <t>SetNum</t>
  </si>
  <si>
    <t>ESNum</t>
  </si>
  <si>
    <t>ScenIDs</t>
  </si>
  <si>
    <t>Gender</t>
  </si>
  <si>
    <t>MomType</t>
  </si>
  <si>
    <t>WaterConc</t>
  </si>
  <si>
    <t>ES001</t>
  </si>
  <si>
    <t>ES002</t>
  </si>
  <si>
    <t>ES003</t>
  </si>
  <si>
    <t>ES004</t>
  </si>
  <si>
    <t>ES005</t>
  </si>
  <si>
    <t>ES006</t>
  </si>
  <si>
    <t>ES007</t>
  </si>
  <si>
    <t>ES008</t>
  </si>
  <si>
    <t>ES009</t>
  </si>
  <si>
    <t>ES010</t>
  </si>
  <si>
    <t>ES011</t>
  </si>
  <si>
    <t>ES012</t>
  </si>
  <si>
    <t>ES013</t>
  </si>
  <si>
    <t>ES014</t>
  </si>
  <si>
    <t>ES015</t>
  </si>
  <si>
    <t>ES016</t>
  </si>
  <si>
    <t>ES017</t>
  </si>
  <si>
    <t>ES018</t>
  </si>
  <si>
    <t>ES019</t>
  </si>
  <si>
    <t>ES020</t>
  </si>
  <si>
    <t>ScenID</t>
  </si>
  <si>
    <t>Name for a batch of files. Also used to assign varied ages, when applicable.</t>
  </si>
  <si>
    <t>Duration</t>
  </si>
  <si>
    <t>ProjectionInfo tab:</t>
  </si>
  <si>
    <t>ProjID</t>
  </si>
  <si>
    <t>SerumThreshold</t>
  </si>
  <si>
    <t>Percentile</t>
  </si>
  <si>
    <t>Date</t>
  </si>
  <si>
    <t>FitType</t>
  </si>
  <si>
    <t>DistributionID</t>
  </si>
  <si>
    <t>Age</t>
  </si>
  <si>
    <t>RegressionType</t>
  </si>
  <si>
    <t>IndependentVar</t>
  </si>
  <si>
    <t>ScenSummary</t>
  </si>
  <si>
    <t xml:space="preserve">Generates informative names for the exposure scenarios. Defines the independent variable information for projections - chemical, water concentration, age, etc. </t>
  </si>
  <si>
    <t>FitDistInfo</t>
  </si>
  <si>
    <t>Provides information for fitting distributions to selected scenarios and dates. Generates informative names for these fits so they can be referenced as maternal serum distributions in other Sets.</t>
  </si>
  <si>
    <t xml:space="preserve">It can combine multiple exposure scenarios to determine what value of an independent variable would result in a population metric reaching a given serum threshold. </t>
  </si>
  <si>
    <t>ProjectionInfo</t>
  </si>
  <si>
    <t>Defines which projections should be made. Each projection uses the named exposure scenarios, an independent variable, a population metric, and a serum threshold.</t>
  </si>
  <si>
    <t>Contains information on maternal serum PFAS. Provides maternal 'background' serum for steady-state estimate and lookup information if using a parametric distribution.</t>
  </si>
  <si>
    <t>Do not change column names in this spreadsheet. If the name is changed, the entries will not be read correctly.</t>
  </si>
  <si>
    <t>Do not use more than one short dash "-" character in inputs that are not dates or numbers. Dates are denoted by having multiple short dashes.</t>
  </si>
  <si>
    <t>Pulls from the first column of the ScenSummary tab. Separates terms that vary within the set with "_" for easy downstream analysis.</t>
  </si>
  <si>
    <t>Scenarios with the same filegroup go into the same raw data file. Should only be alphanumeric. Break scenarios into groups of approximately 20 to facilitate loading on laptops.</t>
  </si>
  <si>
    <t>Depends on mom_serum_method. For 'steadystate' method, enter a number. For 'logspline' method, enter a string that matches a 'DistributionID' from a previous model set. For 'lookup' method, enter a string matching a "WaterID" in the MatSerum tab.</t>
  </si>
  <si>
    <t xml:space="preserve">Maternal water concentration or other information that defines the maternal serum distribution. </t>
  </si>
  <si>
    <t xml:space="preserve">Format "number interval", where number is an integer and interval is 'days', 'weeks', 'months', or 'years'. For example, "1 week", "2 months" etc. Reads into the 'by' argument of seq() function for date objects.  https://stat.ethz.ch/R-manual/R-devel/library/base/html/seq.Date.html </t>
  </si>
  <si>
    <t>ScenSummary tab:</t>
  </si>
  <si>
    <t>Important Notes</t>
  </si>
  <si>
    <t xml:space="preserve">Unique identifier for each exposure scenario. Usually referenced by Scenario and ProjectionInfo tabs within Excel. </t>
  </si>
  <si>
    <t>The set number</t>
  </si>
  <si>
    <t>The exposure scenario number</t>
  </si>
  <si>
    <t>Format as "ES###" with digits replacing #</t>
  </si>
  <si>
    <t>Format as "Set##" with digits replacing #</t>
  </si>
  <si>
    <t>Beyond the columns "ScenID", "SetNum", and "ESNum", column names will vary depending on what projections you plan to make with the scenarios.</t>
  </si>
  <si>
    <t>Use column values in this tab to generate unique names for the scenarios and facilitate grouping by certain characteristics, for example by chemical or gender.</t>
  </si>
  <si>
    <t>Approach to maternal serum</t>
  </si>
  <si>
    <t>PFAS chemical</t>
  </si>
  <si>
    <t>Water concentration for exposure</t>
  </si>
  <si>
    <t>Duration of exposure</t>
  </si>
  <si>
    <t>The information in this table will be referenced during projections as the independent variable; for more details, see ProjectionInfo tab</t>
  </si>
  <si>
    <t>To facilitate use in R, column names should not start with numbers. The entry names probably also should not start with numbers but I'm not sure if that would break things.</t>
  </si>
  <si>
    <t>Optional string</t>
  </si>
  <si>
    <t>Optional numeric</t>
  </si>
  <si>
    <t>Format as "PJ##" with digits replacing #</t>
  </si>
  <si>
    <t>Unique identifier for the projection</t>
  </si>
  <si>
    <t>Separate scenario IDs with a comma and no space. The  TEXTJOIN() function can help.</t>
  </si>
  <si>
    <t>Combined from columns in this spreadsheet with "_" underscores as separators. The TEXTJOIN() function can help. Aside from underscores and periods, it is strongly recommended that the name be limited to alphanumeric characters.</t>
  </si>
  <si>
    <t>Scenario IDs used in the projection</t>
  </si>
  <si>
    <t>Must exactly match a column name in ScenSummary</t>
  </si>
  <si>
    <t xml:space="preserve">The independent variable for the projection. For example, water concentration WaterConc or exposure duration. </t>
  </si>
  <si>
    <t xml:space="preserve">The serum threshold for the projection in ug/L. Typically 20. </t>
  </si>
  <si>
    <t>The percentile of the distribution that will reach the serum threshold. Typically 90.</t>
  </si>
  <si>
    <t>Numeric between 0 and 100, noninclusive.</t>
  </si>
  <si>
    <t>The date at which the scenarios should be evaluated. This defines the receptor age(s) for the exposure scenario.</t>
  </si>
  <si>
    <t>Must exactly match "Linear" at this time. In the future, we may add additional equation options.</t>
  </si>
  <si>
    <t>The type of equation anticipated to govern the relationship between independent and dependent variable.</t>
  </si>
  <si>
    <t>The receptor age. Not used in automatic processing, but can be helpful in sorting information later.</t>
  </si>
  <si>
    <t>The chemical in the projections. Not used in automatic processing, but can be helpful in sorting information later.</t>
  </si>
  <si>
    <t>Some columns serve no purpose in the code, but will be stored in the projection output table. They help organize the projections.</t>
  </si>
  <si>
    <t xml:space="preserve">For example, the 'Chemical' and 'Age' columns. Users may add others as needed. </t>
  </si>
  <si>
    <t xml:space="preserve">This tab overwrites specific columns in the Monte Carlo variable table for a specified ScenarioID. </t>
  </si>
  <si>
    <t>StudyLoc</t>
  </si>
  <si>
    <t>FrommePop</t>
  </si>
  <si>
    <t>VarsiPop</t>
  </si>
  <si>
    <t>Fromme2010</t>
  </si>
  <si>
    <t>Varsi2022</t>
  </si>
  <si>
    <t>kMilk</t>
  </si>
  <si>
    <t>ES021</t>
  </si>
  <si>
    <t>ES022</t>
  </si>
  <si>
    <t>ES023</t>
  </si>
  <si>
    <t>ES024</t>
  </si>
  <si>
    <t>ES025</t>
  </si>
  <si>
    <t>ES026</t>
  </si>
  <si>
    <t>ES027</t>
  </si>
  <si>
    <t>ES028</t>
  </si>
  <si>
    <t>ES029</t>
  </si>
  <si>
    <t>ES030</t>
  </si>
  <si>
    <t>ES031</t>
  </si>
  <si>
    <t>ES032</t>
  </si>
  <si>
    <t>ES033</t>
  </si>
  <si>
    <t>ES034</t>
  </si>
  <si>
    <t>ES035</t>
  </si>
  <si>
    <t>ES036</t>
  </si>
  <si>
    <t>Metrics</t>
  </si>
  <si>
    <t>Values</t>
  </si>
  <si>
    <t>SampleSize</t>
  </si>
  <si>
    <t>SampleSizeGroup</t>
  </si>
  <si>
    <t>ObservationToCompare</t>
  </si>
  <si>
    <t>ES037</t>
  </si>
  <si>
    <t>ES038</t>
  </si>
  <si>
    <t>ES039</t>
  </si>
  <si>
    <t>ES040</t>
  </si>
  <si>
    <t>ES041</t>
  </si>
  <si>
    <t>ES042</t>
  </si>
  <si>
    <t>ES043</t>
  </si>
  <si>
    <t>ES044</t>
  </si>
  <si>
    <t>ES045</t>
  </si>
  <si>
    <t>ES046</t>
  </si>
  <si>
    <t>ES047</t>
  </si>
  <si>
    <t>ES048</t>
  </si>
  <si>
    <t>ES049</t>
  </si>
  <si>
    <t>ES050</t>
  </si>
  <si>
    <t>ES051</t>
  </si>
  <si>
    <t>ES052</t>
  </si>
  <si>
    <t>ES053</t>
  </si>
  <si>
    <t>ES054</t>
  </si>
  <si>
    <t>ES055</t>
  </si>
  <si>
    <t>ES056</t>
  </si>
  <si>
    <t>ES057</t>
  </si>
  <si>
    <t>ES058</t>
  </si>
  <si>
    <t>ES059</t>
  </si>
  <si>
    <t>ES060</t>
  </si>
  <si>
    <t>MonthsBreastfed</t>
  </si>
  <si>
    <t>1950-01-01</t>
  </si>
  <si>
    <t>ParmAbbr</t>
  </si>
  <si>
    <t>logspline</t>
  </si>
  <si>
    <t>2025-01-01</t>
  </si>
  <si>
    <t>PJ01</t>
  </si>
  <si>
    <t>Linear</t>
  </si>
  <si>
    <t>PJ02</t>
  </si>
  <si>
    <t>PJ03</t>
  </si>
  <si>
    <t>PJ04</t>
  </si>
  <si>
    <t>PJ05</t>
  </si>
  <si>
    <t>PJ06</t>
  </si>
  <si>
    <t>MdlMom</t>
  </si>
  <si>
    <t>6moBF</t>
  </si>
  <si>
    <t>Male</t>
  </si>
  <si>
    <t>2025-07-01</t>
  </si>
  <si>
    <t>M</t>
  </si>
  <si>
    <t>2095-01-01</t>
  </si>
  <si>
    <t>InfantResolution</t>
  </si>
  <si>
    <t>MoRes</t>
  </si>
  <si>
    <t>2026-01-01</t>
  </si>
  <si>
    <t>1 month</t>
  </si>
  <si>
    <t>2035-01-01</t>
  </si>
  <si>
    <t>PJ07</t>
  </si>
  <si>
    <t>PJ08</t>
  </si>
  <si>
    <t>PJ09</t>
  </si>
  <si>
    <t>PJ10</t>
  </si>
  <si>
    <t>PJ11</t>
  </si>
  <si>
    <t>PJ12</t>
  </si>
  <si>
    <t>PJ13</t>
  </si>
  <si>
    <t>PJ14</t>
  </si>
  <si>
    <t>PJ15</t>
  </si>
  <si>
    <t>PJ16</t>
  </si>
  <si>
    <t>PJ17</t>
  </si>
  <si>
    <t>PJ18</t>
  </si>
  <si>
    <t>2065-01-01</t>
  </si>
  <si>
    <t>Set57</t>
  </si>
  <si>
    <t>Set56_ES001_40yo_bf3SSmom_PFOA_4</t>
  </si>
  <si>
    <t>Set56_ES002_40yo_bf3SSmom_PFOA_10</t>
  </si>
  <si>
    <t>Set56_ES003_40yo_bf3SSmom_PFOA_20</t>
  </si>
  <si>
    <t>Set56_ES004_40yo_bf3SSmom_PFOA_30</t>
  </si>
  <si>
    <t>Set56_ES005_40yo_bf3SSmom_PFOA_40</t>
  </si>
  <si>
    <t>Set56_ES006_40yo_bf3SSmom_PFOA_50</t>
  </si>
  <si>
    <t>Set56_ES007_40yo_bf3SSmom_PFOA_60</t>
  </si>
  <si>
    <t>Set56_ES008_40yo_bf3SSmom_PFOA_70</t>
  </si>
  <si>
    <t>Set56_ES009_40yo_bf3SSmom_PFOA_80</t>
  </si>
  <si>
    <t>Set56_ES010_40yo_bf3SSmom_PFOA_90</t>
  </si>
  <si>
    <t>Set56_ES011_40yo_bf3SSmom_PFOS_4</t>
  </si>
  <si>
    <t>Set56_ES012_40yo_bf3SSmom_PFOS_10</t>
  </si>
  <si>
    <t>Set56_ES013_40yo_bf3SSmom_PFOS_20</t>
  </si>
  <si>
    <t>Set56_ES014_40yo_bf3SSmom_PFOS_30</t>
  </si>
  <si>
    <t>Set56_ES015_40yo_bf3SSmom_PFOS_40</t>
  </si>
  <si>
    <t>Set56_ES016_40yo_bf3SSmom_PFOS_50</t>
  </si>
  <si>
    <t>Set56_ES017_40yo_bf3SSmom_PFOS_60</t>
  </si>
  <si>
    <t>Set56_ES018_40yo_bf3SSmom_PFOS_70</t>
  </si>
  <si>
    <t>Set56_ES019_40yo_bf3SSmom_PFOS_80</t>
  </si>
  <si>
    <t>Set56_ES020_40yo_bf3SSmom_PFOS_90</t>
  </si>
  <si>
    <t>Set56_ES021_40yo_bf3SSmom_PFHxS_4</t>
  </si>
  <si>
    <t>Set56_ES022_40yo_bf3SSmom_PFHxS_10</t>
  </si>
  <si>
    <t>Set56_ES023_40yo_bf3SSmom_PFHxS_20</t>
  </si>
  <si>
    <t>Set56_ES024_40yo_bf3SSmom_PFHxS_30</t>
  </si>
  <si>
    <t>Set56_ES025_40yo_bf3SSmom_PFHxS_40</t>
  </si>
  <si>
    <t>Set56_ES026_40yo_bf3SSmom_PFHxS_50</t>
  </si>
  <si>
    <t>Set56_ES027_40yo_bf3SSmom_PFHxS_60</t>
  </si>
  <si>
    <t>Set56_ES028_40yo_bf3SSmom_PFHxS_70</t>
  </si>
  <si>
    <t>Set56_ES029_40yo_bf3SSmom_PFHxS_80</t>
  </si>
  <si>
    <t>Set56_ES030_40yo_bf3SSmom_PFHxS_90</t>
  </si>
  <si>
    <t>Set56_ES031_40yo_bf3SSmom_PFNA_4</t>
  </si>
  <si>
    <t>Set56_ES032_40yo_bf3SSmom_PFNA_10</t>
  </si>
  <si>
    <t>Set56_ES033_40yo_bf3SSmom_PFNA_20</t>
  </si>
  <si>
    <t>Set56_ES034_40yo_bf3SSmom_PFNA_30</t>
  </si>
  <si>
    <t>Set56_ES035_40yo_bf3SSmom_PFNA_40</t>
  </si>
  <si>
    <t>Set56_ES036_40yo_bf3SSmom_PFNA_50</t>
  </si>
  <si>
    <t>Set56_ES037_40yo_bf3SSmom_PFNA_60</t>
  </si>
  <si>
    <t>Set56_ES038_40yo_bf3SSmom_PFNA_70</t>
  </si>
  <si>
    <t>Set56_ES039_40yo_bf3SSmom_PFNA_80</t>
  </si>
  <si>
    <t>Set56_ES040_40yo_bf3SSmom_PFNA_90</t>
  </si>
  <si>
    <t>Set56_ES041_40yo_bf3SSmom_PFDA_4</t>
  </si>
  <si>
    <t>Set56_ES042_40yo_bf3SSmom_PFDA_10</t>
  </si>
  <si>
    <t>Set56_ES043_40yo_bf3SSmom_PFDA_20</t>
  </si>
  <si>
    <t>Set56_ES044_40yo_bf3SSmom_PFDA_30</t>
  </si>
  <si>
    <t>Set56_ES045_40yo_bf3SSmom_PFDA_40</t>
  </si>
  <si>
    <t>Set56_ES046_40yo_bf3SSmom_PFDA_50</t>
  </si>
  <si>
    <t>Set56_ES047_40yo_bf3SSmom_PFDA_60</t>
  </si>
  <si>
    <t>Set56_ES048_40yo_bf3SSmom_PFDA_70</t>
  </si>
  <si>
    <t>Set56_ES049_40yo_bf3SSmom_PFDA_80</t>
  </si>
  <si>
    <t>Set56_ES050_40yo_bf3SSmom_PFDA_90</t>
  </si>
  <si>
    <t>Set56_ES051_40yo_bf3SSmom_PFHpA_4</t>
  </si>
  <si>
    <t>Set56_ES052_40yo_bf3SSmom_PFHpA_10</t>
  </si>
  <si>
    <t>Set56_ES053_40yo_bf3SSmom_PFHpA_20</t>
  </si>
  <si>
    <t>Set56_ES054_40yo_bf3SSmom_PFHpA_30</t>
  </si>
  <si>
    <t>Set56_ES055_40yo_bf3SSmom_PFHpA_40</t>
  </si>
  <si>
    <t>Set56_ES056_40yo_bf3SSmom_PFHpA_50</t>
  </si>
  <si>
    <t>Set56_ES057_40yo_bf3SSmom_PFHpA_60</t>
  </si>
  <si>
    <t>Set56_ES058_40yo_bf3SSmom_PFHpA_70</t>
  </si>
  <si>
    <t>Set56_ES059_40yo_bf3SSmom_PFHpA_80</t>
  </si>
  <si>
    <t>Set56_ES060_40yo_bf3SSmom_PFHpA_90</t>
  </si>
  <si>
    <t>RonnebySE_adults.loexp</t>
  </si>
  <si>
    <t>ArnsbergDE_children</t>
  </si>
  <si>
    <t>ArnsbergDE_women</t>
  </si>
  <si>
    <t>ArnsbergDE_men</t>
  </si>
  <si>
    <t>GustavusUS_adults</t>
  </si>
  <si>
    <t>MaineUS_adults</t>
  </si>
  <si>
    <t>PittsboroUS_adults</t>
  </si>
  <si>
    <t>DemoGroup</t>
  </si>
  <si>
    <t>PJ19</t>
  </si>
  <si>
    <t>PJ20</t>
  </si>
  <si>
    <t>PJ21</t>
  </si>
  <si>
    <t>PJ22</t>
  </si>
  <si>
    <t>PJ23</t>
  </si>
  <si>
    <t>PJ24</t>
  </si>
  <si>
    <t>PJ25</t>
  </si>
  <si>
    <t>PJ26</t>
  </si>
  <si>
    <t>PJ27</t>
  </si>
  <si>
    <t>PJ28</t>
  </si>
  <si>
    <t>PJ29</t>
  </si>
  <si>
    <t>PJ30</t>
  </si>
  <si>
    <t>PJ31</t>
  </si>
  <si>
    <t>PJ32</t>
  </si>
  <si>
    <t>PJ33</t>
  </si>
  <si>
    <t>PJ34</t>
  </si>
  <si>
    <t>PJ35</t>
  </si>
  <si>
    <t>PJ36</t>
  </si>
  <si>
    <t>PJ37</t>
  </si>
  <si>
    <t>PJ38</t>
  </si>
  <si>
    <t>PJ39</t>
  </si>
  <si>
    <t>PJ40</t>
  </si>
  <si>
    <t>PJ41</t>
  </si>
  <si>
    <t>PJ42</t>
  </si>
  <si>
    <t>PJ43</t>
  </si>
  <si>
    <t>PJ44</t>
  </si>
  <si>
    <t>PJ45</t>
  </si>
  <si>
    <t>PJ46</t>
  </si>
  <si>
    <t>PJ47</t>
  </si>
  <si>
    <t>PJ48</t>
  </si>
  <si>
    <t>PJ49</t>
  </si>
  <si>
    <t>PJ50</t>
  </si>
  <si>
    <t>PJ51</t>
  </si>
  <si>
    <t>PJ52</t>
  </si>
  <si>
    <t>PJ53</t>
  </si>
  <si>
    <t>PJ54</t>
  </si>
  <si>
    <t>EvalInfo</t>
  </si>
  <si>
    <t>Table for observed data when evaluating model; documentation incomplete</t>
  </si>
  <si>
    <t>R converts tabs in the spreadsheet into an object type called a 'dataframe'. All entries in a column in a dataframe become the same class, for example string, numeric, date, logical...</t>
  </si>
  <si>
    <t>So if strings appear in a column that generally contains numerics, it may affect the ability of R to read the rest of the column entries correctly as numerics.</t>
  </si>
  <si>
    <t>Blank cells are sometimes important. Blank cells read as a true NA in R, in whatever class the column uses.</t>
  </si>
  <si>
    <t>Value from 0 to 1, or blank. If using multiple distribution sections for a FileGroup, one section fraction shold be blank. The fraction assigned to the blank section will equal 1-sum(other section fractions).</t>
  </si>
  <si>
    <t>For uniform distribution, the maximum age plus 1. For other distribution shapes, see parm2 in make_rnd() function. R's random uniform distribution runif() should never give the exact maximum value except under very specific circumstances, which prevents any iteration from being assigned an age that rounds down to outside the MaxAge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</si>
</sst>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0.00000"/>
  </numFmts>
  <fonts count="9">
    <font>
      <sz val="11"/>
      <color theme="1"/>
      <name val="Calibri"/>
      <family val="2"/>
      <scheme val="minor"/>
    </font>
    <font>
      <sz val="11"/>
      <color theme="1"/>
      <name val="Calibri"/>
      <family val="2"/>
      <scheme val="minor"/>
    </font>
    <font>
      <sz val="11"/>
      <name val="Calibri"/>
      <family val="2"/>
      <scheme val="minor"/>
    </font>
    <font>
      <sz val="10"/>
      <color rgb="FF202020"/>
      <name val="Courier New"/>
      <family val="3"/>
    </font>
    <font>
      <sz val="9"/>
      <color theme="1"/>
      <name val="Times New Roman"/>
      <family val="1"/>
    </font>
    <font>
      <b/>
      <sz val="11"/>
      <color theme="1"/>
      <name val="Calibri"/>
      <family val="2"/>
      <scheme val="minor"/>
    </font>
    <font>
      <sz val="11"/>
      <color rgb="FF000000"/>
      <name val="Aptos Narrow"/>
      <family val="2"/>
    </font>
    <font>
      <sz val="8"/>
      <name val="Calibri"/>
      <family val="2"/>
      <scheme val="minor"/>
    </font>
    <font>
      <sz val="10"/>
      <color theme="1"/>
      <name val="Arial Unicode MS"/>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0" fillId="0" borderId="0" xfId="0" applyAlignment="1">
      <alignment wrapText="1"/>
    </xf>
    <xf numFmtId="0" fontId="2" fillId="0" borderId="0" xfId="0" applyFont="1"/>
    <xf numFmtId="0" fontId="3" fillId="0" borderId="0" xfId="0" applyFont="1" applyAlignment="1">
      <alignmen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43" fontId="0" fillId="0" borderId="0" xfId="1" applyFont="1" applyFill="1" applyBorder="1"/>
    <xf numFmtId="43" fontId="0" fillId="0" borderId="0" xfId="1" applyFont="1" applyBorder="1"/>
    <xf numFmtId="0" fontId="5" fillId="0" borderId="0" xfId="0" applyFont="1"/>
    <xf numFmtId="43" fontId="0" fillId="0" borderId="0" xfId="1" applyFont="1" applyFill="1" applyBorder="1" applyAlignment="1">
      <alignment horizontal="center" vertical="center"/>
    </xf>
    <xf numFmtId="0" fontId="0" fillId="0" borderId="0" xfId="0" applyAlignment="1">
      <alignment vertical="center"/>
    </xf>
    <xf numFmtId="43" fontId="0" fillId="0" borderId="0" xfId="1" applyFont="1" applyBorder="1" applyAlignment="1">
      <alignment horizontal="center" vertical="center"/>
    </xf>
    <xf numFmtId="43" fontId="5" fillId="0" borderId="0" xfId="1" applyFont="1" applyFill="1" applyBorder="1" applyAlignment="1">
      <alignment horizontal="left"/>
    </xf>
    <xf numFmtId="14" fontId="0" fillId="0" borderId="0" xfId="0" quotePrefix="1" applyNumberFormat="1"/>
    <xf numFmtId="0" fontId="0" fillId="0" borderId="0" xfId="0" quotePrefix="1"/>
    <xf numFmtId="0" fontId="6" fillId="0" borderId="0" xfId="0" applyFont="1"/>
    <xf numFmtId="0" fontId="5" fillId="0" borderId="0" xfId="0" applyFont="1" applyAlignment="1">
      <alignment wrapText="1"/>
    </xf>
    <xf numFmtId="0" fontId="1" fillId="0" borderId="0" xfId="1" applyNumberFormat="1" applyFont="1" applyFill="1" applyBorder="1" applyAlignment="1">
      <alignment horizontal="left"/>
    </xf>
    <xf numFmtId="0" fontId="8" fillId="0" borderId="0" xfId="0" applyFont="1" applyAlignment="1">
      <alignment vertical="center"/>
    </xf>
    <xf numFmtId="164" fontId="0" fillId="0" borderId="0" xfId="0" applyNumberFormat="1"/>
    <xf numFmtId="165" fontId="0" fillId="0" borderId="0" xfId="0" applyNumberFormat="1"/>
    <xf numFmtId="0" fontId="0" fillId="2" borderId="0" xfId="0" applyFill="1"/>
    <xf numFmtId="0" fontId="6" fillId="2" borderId="0" xfId="0" applyFont="1" applyFill="1"/>
    <xf numFmtId="1" fontId="0" fillId="0" borderId="0" xfId="0" applyNumberFormat="1"/>
    <xf numFmtId="9" fontId="0" fillId="0" borderId="0" xfId="0" applyNumberFormat="1"/>
  </cellXfs>
  <cellStyles count="2">
    <cellStyle name="Comma" xfId="1" builtinId="3"/>
    <cellStyle name="Normal" xfId="0" builtinId="0"/>
  </cellStyles>
  <dxfs count="0"/>
  <tableStyles count="0" defaultTableStyle="TableStyleMedium2" defaultPivotStyle="PivotStyleLight16"/>
  <colors>
    <mruColors>
      <color rgb="FFFB8072"/>
      <color rgb="FFFDB462"/>
      <color rgb="FFBC80BD"/>
      <color rgb="FFFCCDE5"/>
      <color rgb="FFB3DE69"/>
      <color rgb="FFBEBADA"/>
      <color rgb="FFCCEBC5"/>
      <color rgb="FF80B1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C861C-1A7E-424D-947A-C60D07502429}">
  <dimension ref="A1:J241"/>
  <sheetViews>
    <sheetView tabSelected="1" topLeftCell="A10" zoomScaleNormal="100" workbookViewId="0">
      <selection activeCell="A26" sqref="A26"/>
    </sheetView>
  </sheetViews>
  <sheetFormatPr defaultRowHeight="14.5"/>
  <cols>
    <col min="1" max="1" width="24.26953125" customWidth="1"/>
    <col min="2" max="2" width="50.7265625" style="1" customWidth="1"/>
    <col min="3" max="3" width="51" style="1" customWidth="1"/>
    <col min="4" max="4" width="11.81640625" customWidth="1"/>
    <col min="5" max="5" width="11.26953125" customWidth="1"/>
    <col min="6" max="6" width="11.1796875" customWidth="1"/>
  </cols>
  <sheetData>
    <row r="1" spans="1:2" s="1" customFormat="1">
      <c r="A1" s="8" t="s">
        <v>298</v>
      </c>
    </row>
    <row r="3" spans="1:2" s="1" customFormat="1">
      <c r="A3" t="s">
        <v>297</v>
      </c>
    </row>
    <row r="4" spans="1:2">
      <c r="A4" t="s">
        <v>342</v>
      </c>
    </row>
    <row r="6" spans="1:2" s="1" customFormat="1">
      <c r="A6" s="8" t="s">
        <v>90</v>
      </c>
      <c r="B6" s="16" t="s">
        <v>9</v>
      </c>
    </row>
    <row r="7" spans="1:2" s="1" customFormat="1" ht="29">
      <c r="A7" t="s">
        <v>296</v>
      </c>
      <c r="B7" s="1" t="s">
        <v>295</v>
      </c>
    </row>
    <row r="8" spans="1:2" s="1" customFormat="1" ht="43.5">
      <c r="A8" t="s">
        <v>89</v>
      </c>
      <c r="B8" s="1" t="s">
        <v>294</v>
      </c>
    </row>
    <row r="9" spans="1:2" s="1" customFormat="1" ht="43.5">
      <c r="A9" t="s">
        <v>338</v>
      </c>
      <c r="B9" s="1" t="s">
        <v>339</v>
      </c>
    </row>
    <row r="10" spans="1:2" s="1" customFormat="1" ht="58">
      <c r="A10" t="s">
        <v>340</v>
      </c>
      <c r="B10" s="1" t="s">
        <v>341</v>
      </c>
    </row>
    <row r="11" spans="1:2" s="1" customFormat="1" ht="43.5">
      <c r="A11" t="s">
        <v>343</v>
      </c>
      <c r="B11" s="1" t="s">
        <v>344</v>
      </c>
    </row>
    <row r="12" spans="1:2" s="1" customFormat="1">
      <c r="A12" t="s">
        <v>292</v>
      </c>
      <c r="B12" s="1" t="s">
        <v>291</v>
      </c>
    </row>
    <row r="13" spans="1:2" s="1" customFormat="1" ht="29">
      <c r="A13" t="s">
        <v>16</v>
      </c>
      <c r="B13" s="1" t="s">
        <v>290</v>
      </c>
    </row>
    <row r="14" spans="1:2" s="1" customFormat="1" ht="29">
      <c r="A14" t="s">
        <v>0</v>
      </c>
      <c r="B14" s="1" t="s">
        <v>293</v>
      </c>
    </row>
    <row r="15" spans="1:2" s="1" customFormat="1" ht="29">
      <c r="A15" t="s">
        <v>61</v>
      </c>
      <c r="B15" s="1" t="s">
        <v>289</v>
      </c>
    </row>
    <row r="16" spans="1:2" s="1" customFormat="1" ht="43.5">
      <c r="A16" t="s">
        <v>94</v>
      </c>
      <c r="B16" s="1" t="s">
        <v>345</v>
      </c>
    </row>
    <row r="17" spans="1:2" s="1" customFormat="1">
      <c r="A17" t="s">
        <v>288</v>
      </c>
      <c r="B17" s="1" t="s">
        <v>287</v>
      </c>
    </row>
    <row r="18" spans="1:2" s="1" customFormat="1" ht="29">
      <c r="A18" t="s">
        <v>580</v>
      </c>
      <c r="B18" s="1" t="s">
        <v>581</v>
      </c>
    </row>
    <row r="21" spans="1:2">
      <c r="A21" s="8" t="s">
        <v>286</v>
      </c>
    </row>
    <row r="22" spans="1:2">
      <c r="A22" t="s">
        <v>285</v>
      </c>
    </row>
    <row r="23" spans="1:2">
      <c r="A23" t="s">
        <v>284</v>
      </c>
    </row>
    <row r="24" spans="1:2">
      <c r="A24" t="s">
        <v>283</v>
      </c>
    </row>
    <row r="25" spans="1:2">
      <c r="A25" t="s">
        <v>282</v>
      </c>
    </row>
    <row r="26" spans="1:2">
      <c r="A26" t="s">
        <v>281</v>
      </c>
    </row>
    <row r="27" spans="1:2">
      <c r="A27" t="s">
        <v>346</v>
      </c>
    </row>
    <row r="28" spans="1:2">
      <c r="A28" t="s">
        <v>582</v>
      </c>
    </row>
    <row r="29" spans="1:2">
      <c r="A29" t="s">
        <v>583</v>
      </c>
    </row>
    <row r="30" spans="1:2">
      <c r="A30" t="s">
        <v>584</v>
      </c>
    </row>
    <row r="33" spans="1:5">
      <c r="A33" s="8" t="s">
        <v>280</v>
      </c>
      <c r="E33" s="2"/>
    </row>
    <row r="34" spans="1:5">
      <c r="A34" t="s">
        <v>279</v>
      </c>
      <c r="E34" s="2"/>
    </row>
    <row r="35" spans="1:5">
      <c r="A35" t="s">
        <v>278</v>
      </c>
      <c r="E35" s="2"/>
    </row>
    <row r="36" spans="1:5">
      <c r="A36" s="14" t="s">
        <v>277</v>
      </c>
      <c r="E36" s="2"/>
    </row>
    <row r="37" spans="1:5">
      <c r="A37" t="s">
        <v>276</v>
      </c>
      <c r="E37" s="2"/>
    </row>
    <row r="38" spans="1:5">
      <c r="A38" t="s">
        <v>275</v>
      </c>
      <c r="E38" s="2"/>
    </row>
    <row r="39" spans="1:5">
      <c r="A39" t="s">
        <v>274</v>
      </c>
      <c r="E39" s="2"/>
    </row>
    <row r="40" spans="1:5">
      <c r="A40" t="s">
        <v>273</v>
      </c>
      <c r="E40" s="2"/>
    </row>
    <row r="41" spans="1:5">
      <c r="E41" s="2"/>
    </row>
    <row r="42" spans="1:5">
      <c r="A42" s="8" t="s">
        <v>272</v>
      </c>
      <c r="B42" s="16" t="s">
        <v>271</v>
      </c>
      <c r="C42" s="16" t="s">
        <v>270</v>
      </c>
      <c r="D42" s="8" t="s">
        <v>269</v>
      </c>
    </row>
    <row r="43" spans="1:5">
      <c r="A43" t="s">
        <v>14</v>
      </c>
      <c r="B43" s="1" t="s">
        <v>268</v>
      </c>
      <c r="C43" s="1" t="s">
        <v>267</v>
      </c>
    </row>
    <row r="44" spans="1:5">
      <c r="A44" t="s">
        <v>37</v>
      </c>
      <c r="B44" s="1" t="s">
        <v>266</v>
      </c>
      <c r="C44" s="1" t="s">
        <v>265</v>
      </c>
    </row>
    <row r="45" spans="1:5">
      <c r="A45" t="s">
        <v>38</v>
      </c>
      <c r="B45" s="1" t="s">
        <v>264</v>
      </c>
      <c r="C45" s="1" t="s">
        <v>263</v>
      </c>
    </row>
    <row r="46" spans="1:5">
      <c r="A46" t="s">
        <v>262</v>
      </c>
      <c r="B46" s="1" t="s">
        <v>260</v>
      </c>
      <c r="C46" s="1" t="s">
        <v>261</v>
      </c>
      <c r="E46" s="2"/>
    </row>
    <row r="47" spans="1:5">
      <c r="A47" t="s">
        <v>70</v>
      </c>
      <c r="B47" s="1" t="s">
        <v>260</v>
      </c>
      <c r="C47" s="1" t="s">
        <v>259</v>
      </c>
    </row>
    <row r="48" spans="1:5">
      <c r="A48" t="s">
        <v>72</v>
      </c>
      <c r="B48" s="1" t="s">
        <v>258</v>
      </c>
    </row>
    <row r="49" spans="1:10">
      <c r="A49" t="s">
        <v>100</v>
      </c>
      <c r="B49" s="1" t="s">
        <v>257</v>
      </c>
      <c r="C49" s="1" t="s">
        <v>256</v>
      </c>
    </row>
    <row r="50" spans="1:10">
      <c r="A50" t="s">
        <v>104</v>
      </c>
      <c r="B50" s="1" t="s">
        <v>257</v>
      </c>
      <c r="C50" s="1" t="s">
        <v>256</v>
      </c>
      <c r="D50" t="s">
        <v>255</v>
      </c>
    </row>
    <row r="52" spans="1:10">
      <c r="A52" s="1"/>
    </row>
    <row r="53" spans="1:10">
      <c r="A53" s="8" t="s">
        <v>91</v>
      </c>
    </row>
    <row r="54" spans="1:10">
      <c r="A54" s="8" t="s">
        <v>92</v>
      </c>
    </row>
    <row r="55" spans="1:10">
      <c r="A55" t="s">
        <v>347</v>
      </c>
    </row>
    <row r="56" spans="1:10">
      <c r="A56" t="s">
        <v>254</v>
      </c>
    </row>
    <row r="57" spans="1:10">
      <c r="A57" t="s">
        <v>253</v>
      </c>
    </row>
    <row r="58" spans="1:10">
      <c r="A58" t="s">
        <v>252</v>
      </c>
    </row>
    <row r="60" spans="1:10" s="8" customFormat="1">
      <c r="A60" s="8" t="s">
        <v>8</v>
      </c>
      <c r="B60" s="16" t="s">
        <v>10</v>
      </c>
      <c r="C60" s="16" t="s">
        <v>93</v>
      </c>
      <c r="J60"/>
    </row>
    <row r="61" spans="1:10" ht="43.5">
      <c r="A61" t="s">
        <v>88</v>
      </c>
      <c r="B61" s="1" t="s">
        <v>251</v>
      </c>
      <c r="C61" s="1" t="s">
        <v>348</v>
      </c>
    </row>
    <row r="62" spans="1:10" ht="58">
      <c r="A62" t="s">
        <v>95</v>
      </c>
      <c r="B62" s="1" t="s">
        <v>326</v>
      </c>
      <c r="C62" s="1" t="s">
        <v>349</v>
      </c>
    </row>
    <row r="63" spans="1:10" ht="29">
      <c r="A63" t="s">
        <v>73</v>
      </c>
      <c r="B63" s="1" t="s">
        <v>250</v>
      </c>
      <c r="C63" s="1" t="s">
        <v>249</v>
      </c>
    </row>
    <row r="64" spans="1:10" ht="29">
      <c r="A64" t="s">
        <v>74</v>
      </c>
      <c r="B64" s="1" t="s">
        <v>248</v>
      </c>
      <c r="C64" s="1" t="s">
        <v>247</v>
      </c>
    </row>
    <row r="65" spans="1:3" ht="43.5">
      <c r="A65" t="s">
        <v>75</v>
      </c>
      <c r="B65" s="1" t="s">
        <v>246</v>
      </c>
      <c r="C65" s="1" t="s">
        <v>245</v>
      </c>
    </row>
    <row r="66" spans="1:3" ht="43.5">
      <c r="A66" t="s">
        <v>244</v>
      </c>
      <c r="B66" s="1" t="s">
        <v>243</v>
      </c>
      <c r="C66" s="1" t="s">
        <v>242</v>
      </c>
    </row>
    <row r="67" spans="1:3" ht="72.5">
      <c r="A67" t="s">
        <v>241</v>
      </c>
      <c r="B67" s="1" t="s">
        <v>240</v>
      </c>
      <c r="C67" s="1" t="s">
        <v>239</v>
      </c>
    </row>
    <row r="68" spans="1:3" ht="72.5">
      <c r="A68" t="s">
        <v>76</v>
      </c>
      <c r="B68" s="1" t="s">
        <v>351</v>
      </c>
      <c r="C68" s="1" t="s">
        <v>350</v>
      </c>
    </row>
    <row r="69" spans="1:3" ht="29">
      <c r="A69" t="s">
        <v>77</v>
      </c>
      <c r="B69" s="1" t="s">
        <v>238</v>
      </c>
      <c r="C69" s="1" t="s">
        <v>237</v>
      </c>
    </row>
    <row r="70" spans="1:3" ht="29">
      <c r="A70" t="s">
        <v>78</v>
      </c>
      <c r="B70" s="1" t="s">
        <v>236</v>
      </c>
      <c r="C70" s="1" t="s">
        <v>235</v>
      </c>
    </row>
    <row r="71" spans="1:3" ht="43.5">
      <c r="A71" t="s">
        <v>79</v>
      </c>
      <c r="B71" s="1" t="s">
        <v>234</v>
      </c>
      <c r="C71" s="1" t="s">
        <v>233</v>
      </c>
    </row>
    <row r="72" spans="1:3">
      <c r="A72" t="s">
        <v>80</v>
      </c>
      <c r="B72" s="1" t="s">
        <v>232</v>
      </c>
      <c r="C72" s="1" t="s">
        <v>231</v>
      </c>
    </row>
    <row r="73" spans="1:3" ht="43.5">
      <c r="A73" t="s">
        <v>81</v>
      </c>
      <c r="B73" s="1" t="s">
        <v>230</v>
      </c>
      <c r="C73" s="1" t="s">
        <v>226</v>
      </c>
    </row>
    <row r="74" spans="1:3" ht="29">
      <c r="A74" t="s">
        <v>82</v>
      </c>
      <c r="B74" s="1" t="s">
        <v>229</v>
      </c>
      <c r="C74" s="1" t="s">
        <v>226</v>
      </c>
    </row>
    <row r="75" spans="1:3" ht="29">
      <c r="A75" t="s">
        <v>83</v>
      </c>
      <c r="B75" s="1" t="s">
        <v>228</v>
      </c>
      <c r="C75" s="1" t="s">
        <v>226</v>
      </c>
    </row>
    <row r="76" spans="1:3" ht="29">
      <c r="A76" t="s">
        <v>84</v>
      </c>
      <c r="B76" s="1" t="s">
        <v>227</v>
      </c>
      <c r="C76" s="1" t="s">
        <v>226</v>
      </c>
    </row>
    <row r="77" spans="1:3" ht="72.5">
      <c r="A77" t="s">
        <v>85</v>
      </c>
      <c r="B77" s="1" t="s">
        <v>225</v>
      </c>
      <c r="C77" s="1" t="s">
        <v>352</v>
      </c>
    </row>
    <row r="78" spans="1:3" ht="43.5">
      <c r="A78" t="s">
        <v>86</v>
      </c>
      <c r="B78" s="1" t="s">
        <v>224</v>
      </c>
      <c r="C78" s="1" t="s">
        <v>223</v>
      </c>
    </row>
    <row r="81" spans="1:3">
      <c r="A81" s="8" t="s">
        <v>353</v>
      </c>
    </row>
    <row r="82" spans="1:3">
      <c r="A82" s="8" t="s">
        <v>354</v>
      </c>
    </row>
    <row r="83" spans="1:3">
      <c r="A83" t="s">
        <v>360</v>
      </c>
    </row>
    <row r="84" spans="1:3">
      <c r="A84" t="s">
        <v>361</v>
      </c>
    </row>
    <row r="85" spans="1:3">
      <c r="A85" t="s">
        <v>366</v>
      </c>
    </row>
    <row r="86" spans="1:3">
      <c r="A86" t="s">
        <v>367</v>
      </c>
    </row>
    <row r="88" spans="1:3">
      <c r="A88" t="s">
        <v>8</v>
      </c>
      <c r="B88" s="1" t="s">
        <v>10</v>
      </c>
      <c r="C88" s="1" t="s">
        <v>93</v>
      </c>
    </row>
    <row r="89" spans="1:3" ht="72.5">
      <c r="A89" t="s">
        <v>325</v>
      </c>
      <c r="B89" s="1" t="s">
        <v>355</v>
      </c>
      <c r="C89" s="1" t="s">
        <v>373</v>
      </c>
    </row>
    <row r="90" spans="1:3">
      <c r="A90" t="s">
        <v>299</v>
      </c>
      <c r="B90" s="1" t="s">
        <v>356</v>
      </c>
      <c r="C90" s="1" t="s">
        <v>359</v>
      </c>
    </row>
    <row r="91" spans="1:3">
      <c r="A91" t="s">
        <v>300</v>
      </c>
      <c r="B91" s="1" t="s">
        <v>357</v>
      </c>
      <c r="C91" s="1" t="s">
        <v>358</v>
      </c>
    </row>
    <row r="92" spans="1:3">
      <c r="A92" t="s">
        <v>303</v>
      </c>
      <c r="B92" s="1" t="s">
        <v>362</v>
      </c>
      <c r="C92" s="1" t="s">
        <v>368</v>
      </c>
    </row>
    <row r="93" spans="1:3">
      <c r="A93" t="s">
        <v>2</v>
      </c>
      <c r="B93" s="1" t="s">
        <v>363</v>
      </c>
      <c r="C93" s="1" t="s">
        <v>368</v>
      </c>
    </row>
    <row r="94" spans="1:3">
      <c r="A94" t="s">
        <v>304</v>
      </c>
      <c r="B94" s="1" t="s">
        <v>364</v>
      </c>
      <c r="C94" s="1" t="s">
        <v>369</v>
      </c>
    </row>
    <row r="95" spans="1:3">
      <c r="A95" t="s">
        <v>327</v>
      </c>
      <c r="B95" s="1" t="s">
        <v>365</v>
      </c>
      <c r="C95" s="1" t="s">
        <v>369</v>
      </c>
    </row>
    <row r="96" spans="1:3">
      <c r="A96" t="s">
        <v>302</v>
      </c>
      <c r="B96" s="1" t="s">
        <v>236</v>
      </c>
      <c r="C96" s="1" t="s">
        <v>368</v>
      </c>
    </row>
    <row r="100" spans="1:3">
      <c r="A100" s="8" t="s">
        <v>328</v>
      </c>
      <c r="C100"/>
    </row>
    <row r="101" spans="1:3">
      <c r="A101" s="8" t="s">
        <v>92</v>
      </c>
    </row>
    <row r="102" spans="1:3">
      <c r="A102" t="s">
        <v>385</v>
      </c>
    </row>
    <row r="103" spans="1:3">
      <c r="A103" t="s">
        <v>386</v>
      </c>
    </row>
    <row r="105" spans="1:3">
      <c r="A105" s="8" t="s">
        <v>8</v>
      </c>
      <c r="B105" s="16" t="s">
        <v>10</v>
      </c>
      <c r="C105" s="16" t="s">
        <v>93</v>
      </c>
    </row>
    <row r="106" spans="1:3">
      <c r="A106" t="s">
        <v>329</v>
      </c>
      <c r="B106" s="1" t="s">
        <v>371</v>
      </c>
      <c r="C106" s="1" t="s">
        <v>370</v>
      </c>
    </row>
    <row r="107" spans="1:3" ht="29">
      <c r="A107" t="s">
        <v>301</v>
      </c>
      <c r="B107" s="1" t="s">
        <v>374</v>
      </c>
      <c r="C107" s="1" t="s">
        <v>372</v>
      </c>
    </row>
    <row r="108" spans="1:3" ht="29">
      <c r="A108" t="s">
        <v>337</v>
      </c>
      <c r="B108" s="1" t="s">
        <v>376</v>
      </c>
      <c r="C108" s="1" t="s">
        <v>375</v>
      </c>
    </row>
    <row r="109" spans="1:3" ht="29">
      <c r="A109" t="s">
        <v>330</v>
      </c>
      <c r="B109" s="1" t="s">
        <v>377</v>
      </c>
      <c r="C109" s="1" t="s">
        <v>107</v>
      </c>
    </row>
    <row r="110" spans="1:3" ht="29">
      <c r="A110" t="s">
        <v>331</v>
      </c>
      <c r="B110" s="1" t="s">
        <v>378</v>
      </c>
      <c r="C110" s="1" t="s">
        <v>379</v>
      </c>
    </row>
    <row r="111" spans="1:3" ht="29">
      <c r="A111" t="s">
        <v>332</v>
      </c>
      <c r="B111" s="1" t="s">
        <v>380</v>
      </c>
      <c r="C111" s="1" t="s">
        <v>226</v>
      </c>
    </row>
    <row r="112" spans="1:3" ht="29">
      <c r="A112" t="s">
        <v>336</v>
      </c>
      <c r="B112" s="1" t="s">
        <v>382</v>
      </c>
      <c r="C112" s="1" t="s">
        <v>381</v>
      </c>
    </row>
    <row r="113" spans="1:3" ht="29">
      <c r="A113" t="s">
        <v>2</v>
      </c>
      <c r="B113" s="1" t="s">
        <v>384</v>
      </c>
    </row>
    <row r="114" spans="1:3" ht="29">
      <c r="A114" t="s">
        <v>335</v>
      </c>
      <c r="B114" s="1" t="s">
        <v>383</v>
      </c>
    </row>
    <row r="118" spans="1:3">
      <c r="A118" s="8" t="s">
        <v>216</v>
      </c>
    </row>
    <row r="119" spans="1:3">
      <c r="A119" s="8" t="s">
        <v>92</v>
      </c>
    </row>
    <row r="120" spans="1:3">
      <c r="A120" t="s">
        <v>215</v>
      </c>
    </row>
    <row r="121" spans="1:3">
      <c r="A121" t="s">
        <v>214</v>
      </c>
    </row>
    <row r="122" spans="1:3">
      <c r="A122" t="s">
        <v>213</v>
      </c>
    </row>
    <row r="123" spans="1:3">
      <c r="A123" t="s">
        <v>212</v>
      </c>
    </row>
    <row r="124" spans="1:3">
      <c r="A124" t="s">
        <v>211</v>
      </c>
    </row>
    <row r="126" spans="1:3">
      <c r="A126" s="8" t="s">
        <v>8</v>
      </c>
      <c r="B126" s="16" t="s">
        <v>10</v>
      </c>
      <c r="C126" s="16" t="s">
        <v>93</v>
      </c>
    </row>
    <row r="127" spans="1:3">
      <c r="A127" t="s">
        <v>99</v>
      </c>
      <c r="B127" s="1" t="s">
        <v>210</v>
      </c>
      <c r="C127" s="1" t="s">
        <v>209</v>
      </c>
    </row>
    <row r="128" spans="1:3" ht="29">
      <c r="A128" t="s">
        <v>98</v>
      </c>
      <c r="B128" s="1" t="s">
        <v>208</v>
      </c>
      <c r="C128" s="1" t="s">
        <v>207</v>
      </c>
    </row>
    <row r="129" spans="1:3" ht="29">
      <c r="A129" t="s">
        <v>97</v>
      </c>
      <c r="B129" s="1" t="s">
        <v>206</v>
      </c>
      <c r="C129" s="1" t="s">
        <v>205</v>
      </c>
    </row>
    <row r="130" spans="1:3" ht="58">
      <c r="A130" t="s">
        <v>96</v>
      </c>
      <c r="B130" s="1" t="s">
        <v>204</v>
      </c>
      <c r="C130" s="1" t="s">
        <v>585</v>
      </c>
    </row>
    <row r="131" spans="1:3" ht="43.5">
      <c r="A131" t="s">
        <v>13</v>
      </c>
      <c r="B131" s="1" t="s">
        <v>203</v>
      </c>
      <c r="C131" s="1" t="s">
        <v>202</v>
      </c>
    </row>
    <row r="132" spans="1:3" ht="29">
      <c r="A132" t="s">
        <v>101</v>
      </c>
      <c r="B132" s="1" t="s">
        <v>201</v>
      </c>
      <c r="C132" s="1" t="s">
        <v>200</v>
      </c>
    </row>
    <row r="133" spans="1:3" ht="101.5">
      <c r="A133" t="s">
        <v>102</v>
      </c>
      <c r="B133" s="1" t="s">
        <v>199</v>
      </c>
      <c r="C133" s="1" t="s">
        <v>586</v>
      </c>
    </row>
    <row r="134" spans="1:3" ht="43.5">
      <c r="A134" t="s">
        <v>103</v>
      </c>
      <c r="B134" s="1" t="s">
        <v>198</v>
      </c>
      <c r="C134" s="1" t="s">
        <v>197</v>
      </c>
    </row>
    <row r="137" spans="1:3">
      <c r="A137" s="8" t="s">
        <v>196</v>
      </c>
    </row>
    <row r="138" spans="1:3">
      <c r="A138" s="8" t="s">
        <v>92</v>
      </c>
    </row>
    <row r="139" spans="1:3">
      <c r="A139" t="s">
        <v>195</v>
      </c>
    </row>
    <row r="141" spans="1:3">
      <c r="A141" s="8" t="s">
        <v>8</v>
      </c>
      <c r="B141" s="16" t="s">
        <v>10</v>
      </c>
      <c r="C141" s="16" t="s">
        <v>93</v>
      </c>
    </row>
    <row r="142" spans="1:3" ht="29">
      <c r="A142" t="s">
        <v>2</v>
      </c>
      <c r="B142" s="1" t="s">
        <v>194</v>
      </c>
      <c r="C142" s="1" t="s">
        <v>193</v>
      </c>
    </row>
    <row r="143" spans="1:3">
      <c r="A143" t="s">
        <v>8</v>
      </c>
      <c r="B143" s="1" t="s">
        <v>192</v>
      </c>
      <c r="C143" s="1" t="s">
        <v>191</v>
      </c>
    </row>
    <row r="144" spans="1:3" ht="58">
      <c r="A144" t="s">
        <v>11</v>
      </c>
      <c r="B144" s="1" t="s">
        <v>112</v>
      </c>
      <c r="C144" s="1" t="s">
        <v>107</v>
      </c>
    </row>
    <row r="145" spans="1:3" ht="58">
      <c r="A145" t="s">
        <v>12</v>
      </c>
      <c r="B145" s="1" t="s">
        <v>110</v>
      </c>
      <c r="C145" s="1" t="s">
        <v>107</v>
      </c>
    </row>
    <row r="146" spans="1:3" ht="43.5">
      <c r="A146" t="s">
        <v>15</v>
      </c>
      <c r="B146" s="1" t="s">
        <v>190</v>
      </c>
      <c r="C146" s="1" t="s">
        <v>189</v>
      </c>
    </row>
    <row r="147" spans="1:3" ht="43.5">
      <c r="A147" t="s">
        <v>13</v>
      </c>
      <c r="B147" s="1" t="s">
        <v>106</v>
      </c>
      <c r="C147" s="1" t="s">
        <v>105</v>
      </c>
    </row>
    <row r="149" spans="1:3">
      <c r="A149" s="8" t="s">
        <v>188</v>
      </c>
      <c r="B149" s="16" t="s">
        <v>187</v>
      </c>
      <c r="C149" s="16" t="s">
        <v>186</v>
      </c>
    </row>
    <row r="150" spans="1:3">
      <c r="A150" t="s">
        <v>65</v>
      </c>
      <c r="B150" s="1" t="s">
        <v>185</v>
      </c>
      <c r="C150" s="1" t="s">
        <v>184</v>
      </c>
    </row>
    <row r="151" spans="1:3">
      <c r="A151" t="s">
        <v>66</v>
      </c>
      <c r="B151" s="1" t="s">
        <v>183</v>
      </c>
      <c r="C151" s="1" t="s">
        <v>182</v>
      </c>
    </row>
    <row r="152" spans="1:3">
      <c r="A152" t="s">
        <v>44</v>
      </c>
      <c r="B152" s="1" t="s">
        <v>181</v>
      </c>
      <c r="C152" s="1" t="s">
        <v>174</v>
      </c>
    </row>
    <row r="153" spans="1:3">
      <c r="A153" t="s">
        <v>68</v>
      </c>
      <c r="B153" s="1" t="s">
        <v>180</v>
      </c>
      <c r="C153" s="1" t="s">
        <v>174</v>
      </c>
    </row>
    <row r="154" spans="1:3">
      <c r="A154" t="s">
        <v>69</v>
      </c>
      <c r="B154" s="1" t="s">
        <v>179</v>
      </c>
      <c r="C154" s="1" t="s">
        <v>174</v>
      </c>
    </row>
    <row r="155" spans="1:3">
      <c r="A155" t="s">
        <v>39</v>
      </c>
      <c r="B155" s="1" t="s">
        <v>178</v>
      </c>
      <c r="C155" s="1" t="s">
        <v>174</v>
      </c>
    </row>
    <row r="156" spans="1:3" ht="29">
      <c r="A156" t="s">
        <v>63</v>
      </c>
      <c r="B156" s="1" t="s">
        <v>177</v>
      </c>
      <c r="C156" s="1" t="s">
        <v>174</v>
      </c>
    </row>
    <row r="157" spans="1:3" ht="29">
      <c r="A157" t="s">
        <v>7</v>
      </c>
      <c r="B157" s="1" t="s">
        <v>176</v>
      </c>
      <c r="C157" s="1" t="s">
        <v>174</v>
      </c>
    </row>
    <row r="158" spans="1:3">
      <c r="A158" t="s">
        <v>67</v>
      </c>
      <c r="B158" s="1" t="s">
        <v>175</v>
      </c>
      <c r="C158" s="1" t="s">
        <v>174</v>
      </c>
    </row>
    <row r="161" spans="1:2">
      <c r="A161" s="8" t="s">
        <v>222</v>
      </c>
    </row>
    <row r="162" spans="1:2">
      <c r="A162" s="8" t="s">
        <v>92</v>
      </c>
    </row>
    <row r="163" spans="1:2">
      <c r="A163" t="s">
        <v>221</v>
      </c>
    </row>
    <row r="164" spans="1:2">
      <c r="A164" t="s">
        <v>220</v>
      </c>
    </row>
    <row r="166" spans="1:2">
      <c r="A166" s="8" t="s">
        <v>8</v>
      </c>
      <c r="B166" s="16" t="s">
        <v>10</v>
      </c>
    </row>
    <row r="167" spans="1:2">
      <c r="A167" t="s">
        <v>45</v>
      </c>
      <c r="B167" s="1" t="s">
        <v>219</v>
      </c>
    </row>
    <row r="168" spans="1:2">
      <c r="A168" s="17" t="s">
        <v>17</v>
      </c>
      <c r="B168" s="1" t="s">
        <v>218</v>
      </c>
    </row>
    <row r="169" spans="1:2">
      <c r="A169" t="s">
        <v>18</v>
      </c>
      <c r="B169" s="1" t="s">
        <v>217</v>
      </c>
    </row>
    <row r="173" spans="1:2">
      <c r="A173" s="8" t="s">
        <v>173</v>
      </c>
    </row>
    <row r="174" spans="1:2">
      <c r="A174" s="8" t="s">
        <v>92</v>
      </c>
    </row>
    <row r="175" spans="1:2">
      <c r="A175" t="s">
        <v>172</v>
      </c>
    </row>
    <row r="176" spans="1:2">
      <c r="A176" t="s">
        <v>171</v>
      </c>
    </row>
    <row r="178" spans="1:3">
      <c r="A178" s="8" t="s">
        <v>8</v>
      </c>
      <c r="B178" s="16" t="s">
        <v>10</v>
      </c>
      <c r="C178" s="16" t="s">
        <v>93</v>
      </c>
    </row>
    <row r="179" spans="1:3" ht="29">
      <c r="A179" t="s">
        <v>2</v>
      </c>
      <c r="B179" s="1" t="s">
        <v>131</v>
      </c>
      <c r="C179" s="1" t="s">
        <v>130</v>
      </c>
    </row>
    <row r="180" spans="1:3" ht="29">
      <c r="A180" t="s">
        <v>46</v>
      </c>
      <c r="B180" s="1" t="s">
        <v>170</v>
      </c>
      <c r="C180" s="1" t="s">
        <v>169</v>
      </c>
    </row>
    <row r="181" spans="1:3">
      <c r="A181" t="s">
        <v>49</v>
      </c>
      <c r="B181" s="1" t="s">
        <v>168</v>
      </c>
      <c r="C181" s="1" t="s">
        <v>126</v>
      </c>
    </row>
    <row r="182" spans="1:3" ht="29">
      <c r="A182" t="s">
        <v>50</v>
      </c>
      <c r="B182" s="1" t="s">
        <v>167</v>
      </c>
      <c r="C182" s="1" t="s">
        <v>124</v>
      </c>
    </row>
    <row r="183" spans="1:3">
      <c r="A183" t="s">
        <v>47</v>
      </c>
      <c r="B183" s="1" t="s">
        <v>166</v>
      </c>
      <c r="C183" s="1" t="s">
        <v>126</v>
      </c>
    </row>
    <row r="184" spans="1:3" ht="29">
      <c r="A184" t="s">
        <v>48</v>
      </c>
      <c r="B184" s="1" t="s">
        <v>165</v>
      </c>
      <c r="C184" s="1" t="s">
        <v>124</v>
      </c>
    </row>
    <row r="185" spans="1:3" ht="29">
      <c r="A185" t="s">
        <v>55</v>
      </c>
      <c r="B185" s="1" t="s">
        <v>164</v>
      </c>
      <c r="C185" s="1" t="s">
        <v>126</v>
      </c>
    </row>
    <row r="186" spans="1:3" ht="29">
      <c r="A186" t="s">
        <v>56</v>
      </c>
      <c r="B186" s="1" t="s">
        <v>163</v>
      </c>
      <c r="C186" s="1" t="s">
        <v>124</v>
      </c>
    </row>
    <row r="187" spans="1:3">
      <c r="A187" t="s">
        <v>53</v>
      </c>
      <c r="B187" s="1" t="s">
        <v>162</v>
      </c>
      <c r="C187" s="1" t="s">
        <v>126</v>
      </c>
    </row>
    <row r="188" spans="1:3" ht="29">
      <c r="A188" t="s">
        <v>54</v>
      </c>
      <c r="B188" s="1" t="s">
        <v>161</v>
      </c>
      <c r="C188" s="1" t="s">
        <v>124</v>
      </c>
    </row>
    <row r="189" spans="1:3">
      <c r="A189" t="s">
        <v>51</v>
      </c>
      <c r="B189" s="1" t="s">
        <v>160</v>
      </c>
      <c r="C189" s="1" t="s">
        <v>126</v>
      </c>
    </row>
    <row r="190" spans="1:3" ht="29">
      <c r="A190" t="s">
        <v>52</v>
      </c>
      <c r="B190" s="1" t="s">
        <v>159</v>
      </c>
      <c r="C190" s="1" t="s">
        <v>124</v>
      </c>
    </row>
    <row r="191" spans="1:3" ht="29">
      <c r="A191" t="s">
        <v>57</v>
      </c>
      <c r="B191" s="1" t="s">
        <v>158</v>
      </c>
      <c r="C191" s="1" t="s">
        <v>126</v>
      </c>
    </row>
    <row r="192" spans="1:3" ht="29">
      <c r="A192" t="s">
        <v>58</v>
      </c>
      <c r="B192" s="1" t="s">
        <v>157</v>
      </c>
      <c r="C192" s="1" t="s">
        <v>124</v>
      </c>
    </row>
    <row r="193" spans="1:3" ht="43.5">
      <c r="A193" t="s">
        <v>13</v>
      </c>
      <c r="B193" s="1" t="s">
        <v>106</v>
      </c>
      <c r="C193" s="1" t="s">
        <v>156</v>
      </c>
    </row>
    <row r="196" spans="1:3">
      <c r="A196" s="8" t="s">
        <v>155</v>
      </c>
    </row>
    <row r="197" spans="1:3">
      <c r="A197" s="8" t="s">
        <v>92</v>
      </c>
    </row>
    <row r="198" spans="1:3">
      <c r="A198" t="s">
        <v>154</v>
      </c>
    </row>
    <row r="199" spans="1:3">
      <c r="A199" t="s">
        <v>153</v>
      </c>
    </row>
    <row r="200" spans="1:3">
      <c r="A200" t="s">
        <v>152</v>
      </c>
    </row>
    <row r="201" spans="1:3">
      <c r="A201" t="s">
        <v>151</v>
      </c>
    </row>
    <row r="203" spans="1:3">
      <c r="A203" s="8" t="s">
        <v>150</v>
      </c>
    </row>
    <row r="204" spans="1:3">
      <c r="A204" t="s">
        <v>149</v>
      </c>
    </row>
    <row r="205" spans="1:3">
      <c r="A205" t="s">
        <v>148</v>
      </c>
    </row>
    <row r="206" spans="1:3">
      <c r="A206" t="s">
        <v>147</v>
      </c>
    </row>
    <row r="207" spans="1:3">
      <c r="A207" s="8" t="s">
        <v>8</v>
      </c>
      <c r="B207" s="16" t="s">
        <v>10</v>
      </c>
      <c r="C207" s="16" t="s">
        <v>93</v>
      </c>
    </row>
    <row r="208" spans="1:3">
      <c r="A208" t="s">
        <v>59</v>
      </c>
      <c r="B208" s="1" t="s">
        <v>133</v>
      </c>
      <c r="C208" s="1" t="s">
        <v>146</v>
      </c>
    </row>
    <row r="209" spans="1:3" ht="29">
      <c r="A209" t="s">
        <v>2</v>
      </c>
      <c r="B209" s="1" t="s">
        <v>131</v>
      </c>
      <c r="C209" s="1" t="s">
        <v>130</v>
      </c>
    </row>
    <row r="210" spans="1:3" ht="58">
      <c r="A210" t="s">
        <v>62</v>
      </c>
      <c r="B210" s="1" t="s">
        <v>145</v>
      </c>
      <c r="C210" s="1" t="s">
        <v>144</v>
      </c>
    </row>
    <row r="211" spans="1:3" ht="43.5">
      <c r="A211" t="s">
        <v>32</v>
      </c>
      <c r="B211" s="1" t="s">
        <v>143</v>
      </c>
      <c r="C211" s="1" t="s">
        <v>126</v>
      </c>
    </row>
    <row r="212" spans="1:3" ht="43.5">
      <c r="A212" t="s">
        <v>33</v>
      </c>
      <c r="B212" s="1" t="s">
        <v>142</v>
      </c>
      <c r="C212" s="1" t="s">
        <v>124</v>
      </c>
    </row>
    <row r="213" spans="1:3" ht="29">
      <c r="A213" t="s">
        <v>13</v>
      </c>
      <c r="B213" s="1" t="s">
        <v>141</v>
      </c>
      <c r="C213" s="1" t="s">
        <v>140</v>
      </c>
    </row>
    <row r="214" spans="1:3" ht="29">
      <c r="A214" t="s">
        <v>34</v>
      </c>
      <c r="B214" s="1" t="s">
        <v>139</v>
      </c>
      <c r="C214" s="1" t="s">
        <v>120</v>
      </c>
    </row>
    <row r="216" spans="1:3">
      <c r="A216" s="8" t="s">
        <v>138</v>
      </c>
    </row>
    <row r="217" spans="1:3">
      <c r="A217" t="s">
        <v>137</v>
      </c>
    </row>
    <row r="218" spans="1:3">
      <c r="A218" t="s">
        <v>136</v>
      </c>
    </row>
    <row r="219" spans="1:3">
      <c r="A219" t="s">
        <v>135</v>
      </c>
    </row>
    <row r="220" spans="1:3">
      <c r="A220" t="s">
        <v>134</v>
      </c>
    </row>
    <row r="221" spans="1:3">
      <c r="A221" s="8" t="s">
        <v>8</v>
      </c>
      <c r="B221" s="16" t="s">
        <v>10</v>
      </c>
      <c r="C221" s="16" t="s">
        <v>93</v>
      </c>
    </row>
    <row r="222" spans="1:3">
      <c r="A222" t="s">
        <v>59</v>
      </c>
      <c r="B222" s="1" t="s">
        <v>133</v>
      </c>
      <c r="C222" s="1" t="s">
        <v>132</v>
      </c>
    </row>
    <row r="223" spans="1:3" ht="29">
      <c r="A223" t="s">
        <v>2</v>
      </c>
      <c r="B223" s="1" t="s">
        <v>131</v>
      </c>
      <c r="C223" s="1" t="s">
        <v>130</v>
      </c>
    </row>
    <row r="224" spans="1:3" ht="58">
      <c r="A224" t="s">
        <v>62</v>
      </c>
      <c r="B224" s="1" t="s">
        <v>129</v>
      </c>
      <c r="C224" s="1" t="s">
        <v>128</v>
      </c>
    </row>
    <row r="225" spans="1:3" ht="43.5">
      <c r="A225" t="s">
        <v>32</v>
      </c>
      <c r="B225" s="1" t="s">
        <v>127</v>
      </c>
      <c r="C225" s="1" t="s">
        <v>126</v>
      </c>
    </row>
    <row r="226" spans="1:3" ht="43.5">
      <c r="A226" t="s">
        <v>33</v>
      </c>
      <c r="B226" s="1" t="s">
        <v>125</v>
      </c>
      <c r="C226" s="1" t="s">
        <v>124</v>
      </c>
    </row>
    <row r="227" spans="1:3" ht="29">
      <c r="A227" t="s">
        <v>13</v>
      </c>
      <c r="B227" s="1" t="s">
        <v>123</v>
      </c>
      <c r="C227" s="1" t="s">
        <v>122</v>
      </c>
    </row>
    <row r="228" spans="1:3" ht="29">
      <c r="A228" t="s">
        <v>34</v>
      </c>
      <c r="B228" s="1" t="s">
        <v>121</v>
      </c>
      <c r="C228" s="1" t="s">
        <v>120</v>
      </c>
    </row>
    <row r="231" spans="1:3">
      <c r="A231" s="8" t="s">
        <v>119</v>
      </c>
    </row>
    <row r="232" spans="1:3">
      <c r="A232" s="8" t="s">
        <v>92</v>
      </c>
    </row>
    <row r="233" spans="1:3">
      <c r="A233" t="s">
        <v>387</v>
      </c>
    </row>
    <row r="235" spans="1:3">
      <c r="A235" s="8" t="s">
        <v>8</v>
      </c>
      <c r="B235" s="16" t="s">
        <v>10</v>
      </c>
      <c r="C235" s="16" t="s">
        <v>93</v>
      </c>
    </row>
    <row r="236" spans="1:3">
      <c r="A236" t="s">
        <v>118</v>
      </c>
      <c r="B236" s="1" t="s">
        <v>117</v>
      </c>
      <c r="C236" s="1" t="s">
        <v>116</v>
      </c>
    </row>
    <row r="237" spans="1:3" ht="29">
      <c r="A237" t="s">
        <v>8</v>
      </c>
      <c r="B237" s="1" t="s">
        <v>115</v>
      </c>
      <c r="C237" s="1" t="s">
        <v>114</v>
      </c>
    </row>
    <row r="238" spans="1:3" ht="58">
      <c r="A238" t="s">
        <v>113</v>
      </c>
      <c r="B238" s="1" t="s">
        <v>112</v>
      </c>
      <c r="C238" s="1" t="s">
        <v>107</v>
      </c>
    </row>
    <row r="239" spans="1:3" ht="58">
      <c r="A239" t="s">
        <v>111</v>
      </c>
      <c r="B239" s="1" t="s">
        <v>110</v>
      </c>
      <c r="C239" s="1" t="s">
        <v>107</v>
      </c>
    </row>
    <row r="240" spans="1:3" ht="58">
      <c r="A240" t="s">
        <v>109</v>
      </c>
      <c r="B240" s="1" t="s">
        <v>108</v>
      </c>
      <c r="C240" s="1" t="s">
        <v>107</v>
      </c>
    </row>
    <row r="241" spans="1:3" ht="43.5">
      <c r="A241" t="s">
        <v>13</v>
      </c>
      <c r="B241" s="1" t="s">
        <v>106</v>
      </c>
      <c r="C241" s="1" t="s">
        <v>105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4A412-081C-4319-A9A4-61FD64CAE4B0}">
  <dimension ref="A1:R61"/>
  <sheetViews>
    <sheetView topLeftCell="C1" zoomScale="85" zoomScaleNormal="85" workbookViewId="0">
      <selection activeCell="D36" sqref="D36"/>
    </sheetView>
  </sheetViews>
  <sheetFormatPr defaultRowHeight="14.5"/>
  <cols>
    <col min="1" max="1" width="48.90625" bestFit="1" customWidth="1"/>
    <col min="2" max="2" width="26.81640625" bestFit="1" customWidth="1"/>
    <col min="4" max="4" width="13.1796875" customWidth="1"/>
    <col min="5" max="5" width="20.7265625" bestFit="1" customWidth="1"/>
    <col min="6" max="6" width="17.7265625" customWidth="1"/>
    <col min="7" max="7" width="18.26953125" customWidth="1"/>
    <col min="8" max="8" width="36.54296875" customWidth="1"/>
    <col min="9" max="9" width="20.453125" bestFit="1" customWidth="1"/>
    <col min="10" max="12" width="8.7265625" customWidth="1"/>
    <col min="13" max="13" width="11.1796875" customWidth="1"/>
    <col min="14" max="14" width="8.7265625" customWidth="1"/>
  </cols>
  <sheetData>
    <row r="1" spans="1:18">
      <c r="A1" t="s">
        <v>88</v>
      </c>
      <c r="B1" t="s">
        <v>95</v>
      </c>
      <c r="C1" t="s">
        <v>73</v>
      </c>
      <c r="D1" t="s">
        <v>74</v>
      </c>
      <c r="E1" t="s">
        <v>75</v>
      </c>
      <c r="F1" t="s">
        <v>244</v>
      </c>
      <c r="G1" t="s">
        <v>241</v>
      </c>
      <c r="H1" t="s">
        <v>76</v>
      </c>
      <c r="I1" t="s">
        <v>77</v>
      </c>
      <c r="J1" t="s">
        <v>78</v>
      </c>
      <c r="K1" t="s">
        <v>79</v>
      </c>
      <c r="L1" t="s">
        <v>80</v>
      </c>
      <c r="M1" t="s">
        <v>81</v>
      </c>
      <c r="N1" t="s">
        <v>82</v>
      </c>
      <c r="O1" t="s">
        <v>83</v>
      </c>
      <c r="P1" t="s">
        <v>84</v>
      </c>
      <c r="Q1" t="s">
        <v>85</v>
      </c>
      <c r="R1" t="s">
        <v>86</v>
      </c>
    </row>
    <row r="2" spans="1:18">
      <c r="A2" t="str">
        <f>ScenSummary!A2</f>
        <v>Set57_ES001_MdlMom_M_6moBF_PFOA_4</v>
      </c>
      <c r="B2" t="str">
        <f>_xlfn.TEXTJOIN("_",TRUE,ScenSummary!G2,ScenSummary!E2)</f>
        <v>PFOA_M</v>
      </c>
      <c r="C2" t="s">
        <v>3</v>
      </c>
      <c r="D2">
        <v>4</v>
      </c>
      <c r="E2" s="14" t="s">
        <v>440</v>
      </c>
      <c r="F2" s="14">
        <v>0</v>
      </c>
      <c r="G2" s="14" t="s">
        <v>72</v>
      </c>
      <c r="H2" t="s">
        <v>476</v>
      </c>
      <c r="I2" t="s">
        <v>442</v>
      </c>
      <c r="J2" t="s">
        <v>453</v>
      </c>
      <c r="K2">
        <v>6</v>
      </c>
      <c r="L2">
        <v>35000</v>
      </c>
      <c r="M2" s="14" t="s">
        <v>443</v>
      </c>
      <c r="N2" s="14" t="s">
        <v>456</v>
      </c>
      <c r="O2" s="14" t="s">
        <v>459</v>
      </c>
      <c r="P2" s="14" t="s">
        <v>461</v>
      </c>
      <c r="Q2" t="s">
        <v>460</v>
      </c>
      <c r="R2" t="s">
        <v>87</v>
      </c>
    </row>
    <row r="3" spans="1:18">
      <c r="A3" t="str">
        <f>ScenSummary!A3</f>
        <v>Set57_ES002_MdlMom_M_6moBF_PFOA_10</v>
      </c>
      <c r="B3" t="str">
        <f>_xlfn.TEXTJOIN("_",TRUE,ScenSummary!G3,ScenSummary!E3)</f>
        <v>PFOA_M</v>
      </c>
      <c r="C3" t="s">
        <v>3</v>
      </c>
      <c r="D3">
        <v>10</v>
      </c>
      <c r="E3" s="14" t="s">
        <v>440</v>
      </c>
      <c r="F3" s="14">
        <v>0</v>
      </c>
      <c r="G3" s="14" t="s">
        <v>72</v>
      </c>
      <c r="H3" t="s">
        <v>477</v>
      </c>
      <c r="I3" t="s">
        <v>442</v>
      </c>
      <c r="J3" t="s">
        <v>453</v>
      </c>
      <c r="K3">
        <v>6</v>
      </c>
      <c r="L3">
        <v>35000</v>
      </c>
      <c r="M3" s="14" t="s">
        <v>443</v>
      </c>
      <c r="N3" s="14" t="s">
        <v>456</v>
      </c>
      <c r="O3" s="14" t="s">
        <v>459</v>
      </c>
      <c r="P3" s="14" t="s">
        <v>461</v>
      </c>
      <c r="Q3" t="s">
        <v>460</v>
      </c>
      <c r="R3" t="s">
        <v>87</v>
      </c>
    </row>
    <row r="4" spans="1:18">
      <c r="A4" t="str">
        <f>ScenSummary!A4</f>
        <v>Set57_ES003_MdlMom_M_6moBF_PFOA_20</v>
      </c>
      <c r="B4" t="str">
        <f>_xlfn.TEXTJOIN("_",TRUE,ScenSummary!G4,ScenSummary!E4)</f>
        <v>PFOA_M</v>
      </c>
      <c r="C4" t="s">
        <v>3</v>
      </c>
      <c r="D4">
        <v>20</v>
      </c>
      <c r="E4" s="14" t="s">
        <v>440</v>
      </c>
      <c r="F4" s="14">
        <v>0</v>
      </c>
      <c r="G4" s="14" t="s">
        <v>72</v>
      </c>
      <c r="H4" t="s">
        <v>478</v>
      </c>
      <c r="I4" t="s">
        <v>442</v>
      </c>
      <c r="J4" t="s">
        <v>453</v>
      </c>
      <c r="K4">
        <v>6</v>
      </c>
      <c r="L4">
        <v>35000</v>
      </c>
      <c r="M4" s="14" t="s">
        <v>443</v>
      </c>
      <c r="N4" s="14" t="s">
        <v>456</v>
      </c>
      <c r="O4" s="14" t="s">
        <v>459</v>
      </c>
      <c r="P4" s="14" t="s">
        <v>461</v>
      </c>
      <c r="Q4" t="s">
        <v>460</v>
      </c>
      <c r="R4" t="s">
        <v>87</v>
      </c>
    </row>
    <row r="5" spans="1:18">
      <c r="A5" t="str">
        <f>ScenSummary!A5</f>
        <v>Set57_ES004_MdlMom_M_6moBF_PFOA_30</v>
      </c>
      <c r="B5" t="str">
        <f>_xlfn.TEXTJOIN("_",TRUE,ScenSummary!G5,ScenSummary!E5)</f>
        <v>PFOA_M</v>
      </c>
      <c r="C5" t="s">
        <v>3</v>
      </c>
      <c r="D5">
        <v>30</v>
      </c>
      <c r="E5" s="14" t="s">
        <v>440</v>
      </c>
      <c r="F5" s="14">
        <v>0</v>
      </c>
      <c r="G5" s="14" t="s">
        <v>72</v>
      </c>
      <c r="H5" t="s">
        <v>479</v>
      </c>
      <c r="I5" t="s">
        <v>442</v>
      </c>
      <c r="J5" t="s">
        <v>453</v>
      </c>
      <c r="K5">
        <v>6</v>
      </c>
      <c r="L5">
        <v>35000</v>
      </c>
      <c r="M5" s="14" t="s">
        <v>443</v>
      </c>
      <c r="N5" s="14" t="s">
        <v>456</v>
      </c>
      <c r="O5" s="14" t="s">
        <v>459</v>
      </c>
      <c r="P5" s="14" t="s">
        <v>461</v>
      </c>
      <c r="Q5" t="s">
        <v>460</v>
      </c>
      <c r="R5" t="s">
        <v>87</v>
      </c>
    </row>
    <row r="6" spans="1:18">
      <c r="A6" t="str">
        <f>ScenSummary!A6</f>
        <v>Set57_ES005_MdlMom_M_6moBF_PFOA_40</v>
      </c>
      <c r="B6" t="str">
        <f>_xlfn.TEXTJOIN("_",TRUE,ScenSummary!G6,ScenSummary!E6)</f>
        <v>PFOA_M</v>
      </c>
      <c r="C6" t="s">
        <v>3</v>
      </c>
      <c r="D6">
        <v>40</v>
      </c>
      <c r="E6" s="14" t="s">
        <v>440</v>
      </c>
      <c r="F6" s="14">
        <v>0</v>
      </c>
      <c r="G6" s="14" t="s">
        <v>72</v>
      </c>
      <c r="H6" t="s">
        <v>480</v>
      </c>
      <c r="I6" t="s">
        <v>442</v>
      </c>
      <c r="J6" t="s">
        <v>453</v>
      </c>
      <c r="K6">
        <v>6</v>
      </c>
      <c r="L6">
        <v>35000</v>
      </c>
      <c r="M6" s="14" t="s">
        <v>443</v>
      </c>
      <c r="N6" s="14" t="s">
        <v>456</v>
      </c>
      <c r="O6" s="14" t="s">
        <v>459</v>
      </c>
      <c r="P6" s="14" t="s">
        <v>461</v>
      </c>
      <c r="Q6" t="s">
        <v>460</v>
      </c>
      <c r="R6" t="s">
        <v>87</v>
      </c>
    </row>
    <row r="7" spans="1:18">
      <c r="A7" t="str">
        <f>ScenSummary!A7</f>
        <v>Set57_ES006_MdlMom_M_6moBF_PFOA_50</v>
      </c>
      <c r="B7" t="str">
        <f>_xlfn.TEXTJOIN("_",TRUE,ScenSummary!G7,ScenSummary!E7)</f>
        <v>PFOA_M</v>
      </c>
      <c r="C7" t="s">
        <v>3</v>
      </c>
      <c r="D7">
        <v>50</v>
      </c>
      <c r="E7" s="14" t="s">
        <v>440</v>
      </c>
      <c r="F7" s="14">
        <v>0</v>
      </c>
      <c r="G7" s="14" t="s">
        <v>72</v>
      </c>
      <c r="H7" t="s">
        <v>481</v>
      </c>
      <c r="I7" t="s">
        <v>442</v>
      </c>
      <c r="J7" t="s">
        <v>453</v>
      </c>
      <c r="K7">
        <v>6</v>
      </c>
      <c r="L7">
        <v>35000</v>
      </c>
      <c r="M7" s="14" t="s">
        <v>443</v>
      </c>
      <c r="N7" s="14" t="s">
        <v>456</v>
      </c>
      <c r="O7" s="14" t="s">
        <v>459</v>
      </c>
      <c r="P7" s="14" t="s">
        <v>461</v>
      </c>
      <c r="Q7" t="s">
        <v>460</v>
      </c>
      <c r="R7" t="s">
        <v>87</v>
      </c>
    </row>
    <row r="8" spans="1:18">
      <c r="A8" t="str">
        <f>ScenSummary!A8</f>
        <v>Set57_ES007_MdlMom_M_6moBF_PFOA_60</v>
      </c>
      <c r="B8" t="str">
        <f>_xlfn.TEXTJOIN("_",TRUE,ScenSummary!G8,ScenSummary!E8)</f>
        <v>PFOA_M</v>
      </c>
      <c r="C8" t="s">
        <v>3</v>
      </c>
      <c r="D8">
        <v>60</v>
      </c>
      <c r="E8" s="14" t="s">
        <v>440</v>
      </c>
      <c r="F8" s="14">
        <v>0</v>
      </c>
      <c r="G8" s="14" t="s">
        <v>72</v>
      </c>
      <c r="H8" t="s">
        <v>482</v>
      </c>
      <c r="I8" t="s">
        <v>442</v>
      </c>
      <c r="J8" t="s">
        <v>453</v>
      </c>
      <c r="K8">
        <v>6</v>
      </c>
      <c r="L8">
        <v>35000</v>
      </c>
      <c r="M8" s="14" t="s">
        <v>443</v>
      </c>
      <c r="N8" s="14" t="s">
        <v>456</v>
      </c>
      <c r="O8" s="14" t="s">
        <v>459</v>
      </c>
      <c r="P8" s="14" t="s">
        <v>461</v>
      </c>
      <c r="Q8" t="s">
        <v>460</v>
      </c>
      <c r="R8" t="s">
        <v>87</v>
      </c>
    </row>
    <row r="9" spans="1:18">
      <c r="A9" t="str">
        <f>ScenSummary!A9</f>
        <v>Set57_ES008_MdlMom_M_6moBF_PFOA_70</v>
      </c>
      <c r="B9" t="str">
        <f>_xlfn.TEXTJOIN("_",TRUE,ScenSummary!G9,ScenSummary!E9)</f>
        <v>PFOA_M</v>
      </c>
      <c r="C9" t="s">
        <v>3</v>
      </c>
      <c r="D9">
        <v>70</v>
      </c>
      <c r="E9" s="14" t="s">
        <v>440</v>
      </c>
      <c r="F9" s="14">
        <v>0</v>
      </c>
      <c r="G9" s="14" t="s">
        <v>72</v>
      </c>
      <c r="H9" t="s">
        <v>483</v>
      </c>
      <c r="I9" t="s">
        <v>442</v>
      </c>
      <c r="J9" t="s">
        <v>453</v>
      </c>
      <c r="K9">
        <v>6</v>
      </c>
      <c r="L9">
        <v>35000</v>
      </c>
      <c r="M9" s="14" t="s">
        <v>443</v>
      </c>
      <c r="N9" s="14" t="s">
        <v>456</v>
      </c>
      <c r="O9" s="14" t="s">
        <v>459</v>
      </c>
      <c r="P9" s="14" t="s">
        <v>461</v>
      </c>
      <c r="Q9" t="s">
        <v>460</v>
      </c>
      <c r="R9" t="s">
        <v>87</v>
      </c>
    </row>
    <row r="10" spans="1:18">
      <c r="A10" t="str">
        <f>ScenSummary!A10</f>
        <v>Set57_ES009_MdlMom_M_6moBF_PFOA_80</v>
      </c>
      <c r="B10" t="str">
        <f>_xlfn.TEXTJOIN("_",TRUE,ScenSummary!G10,ScenSummary!E10)</f>
        <v>PFOA_M</v>
      </c>
      <c r="C10" t="s">
        <v>3</v>
      </c>
      <c r="D10">
        <v>80</v>
      </c>
      <c r="E10" s="14" t="s">
        <v>440</v>
      </c>
      <c r="F10" s="14">
        <v>0</v>
      </c>
      <c r="G10" s="14" t="s">
        <v>72</v>
      </c>
      <c r="H10" t="s">
        <v>484</v>
      </c>
      <c r="I10" t="s">
        <v>442</v>
      </c>
      <c r="J10" t="s">
        <v>453</v>
      </c>
      <c r="K10">
        <v>6</v>
      </c>
      <c r="L10">
        <v>35000</v>
      </c>
      <c r="M10" s="14" t="s">
        <v>443</v>
      </c>
      <c r="N10" s="14" t="s">
        <v>456</v>
      </c>
      <c r="O10" s="14" t="s">
        <v>459</v>
      </c>
      <c r="P10" s="14" t="s">
        <v>461</v>
      </c>
      <c r="Q10" t="s">
        <v>460</v>
      </c>
      <c r="R10" t="s">
        <v>87</v>
      </c>
    </row>
    <row r="11" spans="1:18">
      <c r="A11" t="str">
        <f>ScenSummary!A11</f>
        <v>Set57_ES010_MdlMom_M_6moBF_PFOA_90</v>
      </c>
      <c r="B11" t="str">
        <f>_xlfn.TEXTJOIN("_",TRUE,ScenSummary!G11,ScenSummary!E11)</f>
        <v>PFOA_M</v>
      </c>
      <c r="C11" t="s">
        <v>3</v>
      </c>
      <c r="D11">
        <v>90</v>
      </c>
      <c r="E11" s="14" t="s">
        <v>440</v>
      </c>
      <c r="F11" s="14">
        <v>0</v>
      </c>
      <c r="G11" s="14" t="s">
        <v>72</v>
      </c>
      <c r="H11" t="s">
        <v>485</v>
      </c>
      <c r="I11" t="s">
        <v>442</v>
      </c>
      <c r="J11" t="s">
        <v>453</v>
      </c>
      <c r="K11">
        <v>6</v>
      </c>
      <c r="L11">
        <v>35000</v>
      </c>
      <c r="M11" s="14" t="s">
        <v>443</v>
      </c>
      <c r="N11" s="14" t="s">
        <v>456</v>
      </c>
      <c r="O11" s="14" t="s">
        <v>459</v>
      </c>
      <c r="P11" s="14" t="s">
        <v>461</v>
      </c>
      <c r="Q11" t="s">
        <v>460</v>
      </c>
      <c r="R11" t="s">
        <v>87</v>
      </c>
    </row>
    <row r="12" spans="1:18">
      <c r="A12" t="str">
        <f>ScenSummary!A12</f>
        <v>Set57_ES011_MdlMom_M_6moBF_PFOS_4</v>
      </c>
      <c r="B12" t="str">
        <f>_xlfn.TEXTJOIN("_",TRUE,ScenSummary!G12,ScenSummary!E12)</f>
        <v>PFOS_M</v>
      </c>
      <c r="C12" t="s">
        <v>4</v>
      </c>
      <c r="D12">
        <v>4</v>
      </c>
      <c r="E12" s="14" t="s">
        <v>440</v>
      </c>
      <c r="F12" s="14">
        <v>0</v>
      </c>
      <c r="G12" s="14" t="s">
        <v>72</v>
      </c>
      <c r="H12" t="s">
        <v>486</v>
      </c>
      <c r="I12" t="s">
        <v>442</v>
      </c>
      <c r="J12" t="s">
        <v>453</v>
      </c>
      <c r="K12">
        <v>6</v>
      </c>
      <c r="L12">
        <v>35000</v>
      </c>
      <c r="M12" s="14" t="s">
        <v>443</v>
      </c>
      <c r="N12" s="14" t="s">
        <v>456</v>
      </c>
      <c r="O12" s="14" t="s">
        <v>459</v>
      </c>
      <c r="P12" s="14" t="s">
        <v>461</v>
      </c>
      <c r="Q12" t="s">
        <v>460</v>
      </c>
      <c r="R12" t="s">
        <v>87</v>
      </c>
    </row>
    <row r="13" spans="1:18">
      <c r="A13" t="str">
        <f>ScenSummary!A13</f>
        <v>Set57_ES012_MdlMom_M_6moBF_PFOS_10</v>
      </c>
      <c r="B13" t="str">
        <f>_xlfn.TEXTJOIN("_",TRUE,ScenSummary!G13,ScenSummary!E13)</f>
        <v>PFOS_M</v>
      </c>
      <c r="C13" t="s">
        <v>4</v>
      </c>
      <c r="D13">
        <v>10</v>
      </c>
      <c r="E13" s="14" t="s">
        <v>440</v>
      </c>
      <c r="F13" s="14">
        <v>0</v>
      </c>
      <c r="G13" s="14" t="s">
        <v>72</v>
      </c>
      <c r="H13" t="s">
        <v>487</v>
      </c>
      <c r="I13" t="s">
        <v>442</v>
      </c>
      <c r="J13" t="s">
        <v>453</v>
      </c>
      <c r="K13">
        <v>6</v>
      </c>
      <c r="L13">
        <v>35000</v>
      </c>
      <c r="M13" s="14" t="s">
        <v>443</v>
      </c>
      <c r="N13" s="14" t="s">
        <v>456</v>
      </c>
      <c r="O13" s="14" t="s">
        <v>459</v>
      </c>
      <c r="P13" s="14" t="s">
        <v>461</v>
      </c>
      <c r="Q13" t="s">
        <v>460</v>
      </c>
      <c r="R13" t="s">
        <v>87</v>
      </c>
    </row>
    <row r="14" spans="1:18">
      <c r="A14" t="str">
        <f>ScenSummary!A14</f>
        <v>Set57_ES013_MdlMom_M_6moBF_PFOS_20</v>
      </c>
      <c r="B14" t="str">
        <f>_xlfn.TEXTJOIN("_",TRUE,ScenSummary!G14,ScenSummary!E14)</f>
        <v>PFOS_M</v>
      </c>
      <c r="C14" t="s">
        <v>4</v>
      </c>
      <c r="D14">
        <v>20</v>
      </c>
      <c r="E14" s="14" t="s">
        <v>440</v>
      </c>
      <c r="F14" s="14">
        <v>0</v>
      </c>
      <c r="G14" s="14" t="s">
        <v>72</v>
      </c>
      <c r="H14" t="s">
        <v>488</v>
      </c>
      <c r="I14" t="s">
        <v>442</v>
      </c>
      <c r="J14" t="s">
        <v>453</v>
      </c>
      <c r="K14">
        <v>6</v>
      </c>
      <c r="L14">
        <v>35000</v>
      </c>
      <c r="M14" s="14" t="s">
        <v>443</v>
      </c>
      <c r="N14" s="14" t="s">
        <v>456</v>
      </c>
      <c r="O14" s="14" t="s">
        <v>459</v>
      </c>
      <c r="P14" s="14" t="s">
        <v>461</v>
      </c>
      <c r="Q14" t="s">
        <v>460</v>
      </c>
      <c r="R14" t="s">
        <v>87</v>
      </c>
    </row>
    <row r="15" spans="1:18">
      <c r="A15" t="str">
        <f>ScenSummary!A15</f>
        <v>Set57_ES014_MdlMom_M_6moBF_PFOS_30</v>
      </c>
      <c r="B15" t="str">
        <f>_xlfn.TEXTJOIN("_",TRUE,ScenSummary!G15,ScenSummary!E15)</f>
        <v>PFOS_M</v>
      </c>
      <c r="C15" t="s">
        <v>4</v>
      </c>
      <c r="D15">
        <v>30</v>
      </c>
      <c r="E15" s="14" t="s">
        <v>440</v>
      </c>
      <c r="F15" s="14">
        <v>0</v>
      </c>
      <c r="G15" s="14" t="s">
        <v>72</v>
      </c>
      <c r="H15" t="s">
        <v>489</v>
      </c>
      <c r="I15" t="s">
        <v>442</v>
      </c>
      <c r="J15" t="s">
        <v>453</v>
      </c>
      <c r="K15">
        <v>6</v>
      </c>
      <c r="L15">
        <v>35000</v>
      </c>
      <c r="M15" s="14" t="s">
        <v>443</v>
      </c>
      <c r="N15" s="14" t="s">
        <v>456</v>
      </c>
      <c r="O15" s="14" t="s">
        <v>459</v>
      </c>
      <c r="P15" s="14" t="s">
        <v>461</v>
      </c>
      <c r="Q15" t="s">
        <v>460</v>
      </c>
      <c r="R15" t="s">
        <v>87</v>
      </c>
    </row>
    <row r="16" spans="1:18">
      <c r="A16" t="str">
        <f>ScenSummary!A16</f>
        <v>Set57_ES015_MdlMom_M_6moBF_PFOS_40</v>
      </c>
      <c r="B16" t="str">
        <f>_xlfn.TEXTJOIN("_",TRUE,ScenSummary!G16,ScenSummary!E16)</f>
        <v>PFOS_M</v>
      </c>
      <c r="C16" t="s">
        <v>4</v>
      </c>
      <c r="D16">
        <v>40</v>
      </c>
      <c r="E16" s="14" t="s">
        <v>440</v>
      </c>
      <c r="F16" s="14">
        <v>0</v>
      </c>
      <c r="G16" s="14" t="s">
        <v>72</v>
      </c>
      <c r="H16" t="s">
        <v>490</v>
      </c>
      <c r="I16" t="s">
        <v>442</v>
      </c>
      <c r="J16" t="s">
        <v>453</v>
      </c>
      <c r="K16">
        <v>6</v>
      </c>
      <c r="L16">
        <v>35000</v>
      </c>
      <c r="M16" s="14" t="s">
        <v>443</v>
      </c>
      <c r="N16" s="14" t="s">
        <v>456</v>
      </c>
      <c r="O16" s="14" t="s">
        <v>459</v>
      </c>
      <c r="P16" s="14" t="s">
        <v>461</v>
      </c>
      <c r="Q16" t="s">
        <v>460</v>
      </c>
      <c r="R16" t="s">
        <v>87</v>
      </c>
    </row>
    <row r="17" spans="1:18">
      <c r="A17" t="str">
        <f>ScenSummary!A17</f>
        <v>Set57_ES016_MdlMom_M_6moBF_PFOS_50</v>
      </c>
      <c r="B17" t="str">
        <f>_xlfn.TEXTJOIN("_",TRUE,ScenSummary!G17,ScenSummary!E17)</f>
        <v>PFOS_M</v>
      </c>
      <c r="C17" t="s">
        <v>4</v>
      </c>
      <c r="D17">
        <v>50</v>
      </c>
      <c r="E17" s="14" t="s">
        <v>440</v>
      </c>
      <c r="F17" s="14">
        <v>0</v>
      </c>
      <c r="G17" s="14" t="s">
        <v>72</v>
      </c>
      <c r="H17" t="s">
        <v>491</v>
      </c>
      <c r="I17" t="s">
        <v>442</v>
      </c>
      <c r="J17" t="s">
        <v>453</v>
      </c>
      <c r="K17">
        <v>6</v>
      </c>
      <c r="L17">
        <v>35000</v>
      </c>
      <c r="M17" s="14" t="s">
        <v>443</v>
      </c>
      <c r="N17" s="14" t="s">
        <v>456</v>
      </c>
      <c r="O17" s="14" t="s">
        <v>459</v>
      </c>
      <c r="P17" s="14" t="s">
        <v>461</v>
      </c>
      <c r="Q17" t="s">
        <v>460</v>
      </c>
      <c r="R17" t="s">
        <v>87</v>
      </c>
    </row>
    <row r="18" spans="1:18">
      <c r="A18" t="str">
        <f>ScenSummary!A18</f>
        <v>Set57_ES017_MdlMom_M_6moBF_PFOS_60</v>
      </c>
      <c r="B18" t="str">
        <f>_xlfn.TEXTJOIN("_",TRUE,ScenSummary!G18,ScenSummary!E18)</f>
        <v>PFOS_M</v>
      </c>
      <c r="C18" t="s">
        <v>4</v>
      </c>
      <c r="D18">
        <v>60</v>
      </c>
      <c r="E18" s="14" t="s">
        <v>440</v>
      </c>
      <c r="F18" s="14">
        <v>0</v>
      </c>
      <c r="G18" s="14" t="s">
        <v>72</v>
      </c>
      <c r="H18" t="s">
        <v>492</v>
      </c>
      <c r="I18" t="s">
        <v>442</v>
      </c>
      <c r="J18" t="s">
        <v>453</v>
      </c>
      <c r="K18">
        <v>6</v>
      </c>
      <c r="L18">
        <v>35000</v>
      </c>
      <c r="M18" s="14" t="s">
        <v>443</v>
      </c>
      <c r="N18" s="14" t="s">
        <v>456</v>
      </c>
      <c r="O18" s="14" t="s">
        <v>459</v>
      </c>
      <c r="P18" s="14" t="s">
        <v>461</v>
      </c>
      <c r="Q18" t="s">
        <v>460</v>
      </c>
      <c r="R18" t="s">
        <v>87</v>
      </c>
    </row>
    <row r="19" spans="1:18">
      <c r="A19" t="str">
        <f>ScenSummary!A19</f>
        <v>Set57_ES018_MdlMom_M_6moBF_PFOS_70</v>
      </c>
      <c r="B19" t="str">
        <f>_xlfn.TEXTJOIN("_",TRUE,ScenSummary!G19,ScenSummary!E19)</f>
        <v>PFOS_M</v>
      </c>
      <c r="C19" t="s">
        <v>4</v>
      </c>
      <c r="D19">
        <v>70</v>
      </c>
      <c r="E19" s="14" t="s">
        <v>440</v>
      </c>
      <c r="F19" s="14">
        <v>0</v>
      </c>
      <c r="G19" s="14" t="s">
        <v>72</v>
      </c>
      <c r="H19" t="s">
        <v>493</v>
      </c>
      <c r="I19" t="s">
        <v>442</v>
      </c>
      <c r="J19" t="s">
        <v>453</v>
      </c>
      <c r="K19">
        <v>6</v>
      </c>
      <c r="L19">
        <v>35000</v>
      </c>
      <c r="M19" s="14" t="s">
        <v>443</v>
      </c>
      <c r="N19" s="14" t="s">
        <v>456</v>
      </c>
      <c r="O19" s="14" t="s">
        <v>459</v>
      </c>
      <c r="P19" s="14" t="s">
        <v>461</v>
      </c>
      <c r="Q19" t="s">
        <v>460</v>
      </c>
      <c r="R19" t="s">
        <v>87</v>
      </c>
    </row>
    <row r="20" spans="1:18">
      <c r="A20" t="str">
        <f>ScenSummary!A20</f>
        <v>Set57_ES019_MdlMom_M_6moBF_PFOS_80</v>
      </c>
      <c r="B20" t="str">
        <f>_xlfn.TEXTJOIN("_",TRUE,ScenSummary!G20,ScenSummary!E20)</f>
        <v>PFOS_M</v>
      </c>
      <c r="C20" t="s">
        <v>4</v>
      </c>
      <c r="D20">
        <v>80</v>
      </c>
      <c r="E20" s="14" t="s">
        <v>440</v>
      </c>
      <c r="F20" s="14">
        <v>0</v>
      </c>
      <c r="G20" s="14" t="s">
        <v>72</v>
      </c>
      <c r="H20" t="s">
        <v>494</v>
      </c>
      <c r="I20" t="s">
        <v>442</v>
      </c>
      <c r="J20" t="s">
        <v>453</v>
      </c>
      <c r="K20">
        <v>6</v>
      </c>
      <c r="L20">
        <v>35000</v>
      </c>
      <c r="M20" s="14" t="s">
        <v>443</v>
      </c>
      <c r="N20" s="14" t="s">
        <v>456</v>
      </c>
      <c r="O20" s="14" t="s">
        <v>459</v>
      </c>
      <c r="P20" s="14" t="s">
        <v>461</v>
      </c>
      <c r="Q20" t="s">
        <v>460</v>
      </c>
      <c r="R20" t="s">
        <v>87</v>
      </c>
    </row>
    <row r="21" spans="1:18">
      <c r="A21" t="str">
        <f>ScenSummary!A21</f>
        <v>Set57_ES020_MdlMom_M_6moBF_PFOS_90</v>
      </c>
      <c r="B21" t="str">
        <f>_xlfn.TEXTJOIN("_",TRUE,ScenSummary!G21,ScenSummary!E21)</f>
        <v>PFOS_M</v>
      </c>
      <c r="C21" t="s">
        <v>4</v>
      </c>
      <c r="D21">
        <v>90</v>
      </c>
      <c r="E21" s="14" t="s">
        <v>440</v>
      </c>
      <c r="F21" s="14">
        <v>0</v>
      </c>
      <c r="G21" s="14" t="s">
        <v>72</v>
      </c>
      <c r="H21" t="s">
        <v>495</v>
      </c>
      <c r="I21" t="s">
        <v>442</v>
      </c>
      <c r="J21" t="s">
        <v>453</v>
      </c>
      <c r="K21">
        <v>6</v>
      </c>
      <c r="L21">
        <v>35000</v>
      </c>
      <c r="M21" s="14" t="s">
        <v>443</v>
      </c>
      <c r="N21" s="14" t="s">
        <v>456</v>
      </c>
      <c r="O21" s="14" t="s">
        <v>459</v>
      </c>
      <c r="P21" s="14" t="s">
        <v>461</v>
      </c>
      <c r="Q21" t="s">
        <v>460</v>
      </c>
      <c r="R21" t="s">
        <v>87</v>
      </c>
    </row>
    <row r="22" spans="1:18">
      <c r="A22" t="str">
        <f>ScenSummary!A22</f>
        <v>Set57_ES021_MdlMom_M_6moBF_PFHxS_4</v>
      </c>
      <c r="B22" t="str">
        <f>_xlfn.TEXTJOIN("_",TRUE,ScenSummary!G22,ScenSummary!E22)</f>
        <v>PFHxS_M</v>
      </c>
      <c r="C22" t="s">
        <v>6</v>
      </c>
      <c r="D22">
        <v>4</v>
      </c>
      <c r="E22" s="14" t="s">
        <v>440</v>
      </c>
      <c r="F22" s="14">
        <v>0</v>
      </c>
      <c r="G22" s="14" t="s">
        <v>72</v>
      </c>
      <c r="H22" t="s">
        <v>496</v>
      </c>
      <c r="I22" t="s">
        <v>442</v>
      </c>
      <c r="J22" t="s">
        <v>453</v>
      </c>
      <c r="K22">
        <v>6</v>
      </c>
      <c r="L22">
        <v>35000</v>
      </c>
      <c r="M22" s="14" t="s">
        <v>443</v>
      </c>
      <c r="N22" s="14" t="s">
        <v>456</v>
      </c>
      <c r="O22" s="14" t="s">
        <v>459</v>
      </c>
      <c r="P22" s="14" t="s">
        <v>461</v>
      </c>
      <c r="Q22" t="s">
        <v>460</v>
      </c>
      <c r="R22" t="s">
        <v>87</v>
      </c>
    </row>
    <row r="23" spans="1:18">
      <c r="A23" t="str">
        <f>ScenSummary!A23</f>
        <v>Set57_ES022_MdlMom_M_6moBF_PFHxS_10</v>
      </c>
      <c r="B23" t="str">
        <f>_xlfn.TEXTJOIN("_",TRUE,ScenSummary!G23,ScenSummary!E23)</f>
        <v>PFHxS_M</v>
      </c>
      <c r="C23" t="s">
        <v>6</v>
      </c>
      <c r="D23">
        <v>10</v>
      </c>
      <c r="E23" s="14" t="s">
        <v>440</v>
      </c>
      <c r="F23" s="14">
        <v>0</v>
      </c>
      <c r="G23" s="14" t="s">
        <v>72</v>
      </c>
      <c r="H23" t="s">
        <v>497</v>
      </c>
      <c r="I23" t="s">
        <v>442</v>
      </c>
      <c r="J23" t="s">
        <v>453</v>
      </c>
      <c r="K23">
        <v>6</v>
      </c>
      <c r="L23">
        <v>35000</v>
      </c>
      <c r="M23" s="14" t="s">
        <v>443</v>
      </c>
      <c r="N23" s="14" t="s">
        <v>456</v>
      </c>
      <c r="O23" s="14" t="s">
        <v>459</v>
      </c>
      <c r="P23" s="14" t="s">
        <v>461</v>
      </c>
      <c r="Q23" t="s">
        <v>460</v>
      </c>
      <c r="R23" t="s">
        <v>87</v>
      </c>
    </row>
    <row r="24" spans="1:18">
      <c r="A24" t="str">
        <f>ScenSummary!A24</f>
        <v>Set57_ES023_MdlMom_M_6moBF_PFHxS_20</v>
      </c>
      <c r="B24" t="str">
        <f>_xlfn.TEXTJOIN("_",TRUE,ScenSummary!G24,ScenSummary!E24)</f>
        <v>PFHxS_M</v>
      </c>
      <c r="C24" t="s">
        <v>6</v>
      </c>
      <c r="D24">
        <v>20</v>
      </c>
      <c r="E24" s="14" t="s">
        <v>440</v>
      </c>
      <c r="F24" s="14">
        <v>0</v>
      </c>
      <c r="G24" s="14" t="s">
        <v>72</v>
      </c>
      <c r="H24" t="s">
        <v>498</v>
      </c>
      <c r="I24" t="s">
        <v>442</v>
      </c>
      <c r="J24" t="s">
        <v>453</v>
      </c>
      <c r="K24">
        <v>6</v>
      </c>
      <c r="L24">
        <v>35000</v>
      </c>
      <c r="M24" s="14" t="s">
        <v>443</v>
      </c>
      <c r="N24" s="14" t="s">
        <v>456</v>
      </c>
      <c r="O24" s="14" t="s">
        <v>459</v>
      </c>
      <c r="P24" s="14" t="s">
        <v>461</v>
      </c>
      <c r="Q24" t="s">
        <v>460</v>
      </c>
      <c r="R24" t="s">
        <v>87</v>
      </c>
    </row>
    <row r="25" spans="1:18">
      <c r="A25" t="str">
        <f>ScenSummary!A25</f>
        <v>Set57_ES024_MdlMom_M_6moBF_PFHxS_30</v>
      </c>
      <c r="B25" t="str">
        <f>_xlfn.TEXTJOIN("_",TRUE,ScenSummary!G25,ScenSummary!E25)</f>
        <v>PFHxS_M</v>
      </c>
      <c r="C25" t="s">
        <v>6</v>
      </c>
      <c r="D25">
        <v>30</v>
      </c>
      <c r="E25" s="14" t="s">
        <v>440</v>
      </c>
      <c r="F25" s="14">
        <v>0</v>
      </c>
      <c r="G25" s="14" t="s">
        <v>72</v>
      </c>
      <c r="H25" t="s">
        <v>499</v>
      </c>
      <c r="I25" t="s">
        <v>442</v>
      </c>
      <c r="J25" t="s">
        <v>453</v>
      </c>
      <c r="K25">
        <v>6</v>
      </c>
      <c r="L25">
        <v>35000</v>
      </c>
      <c r="M25" s="14" t="s">
        <v>443</v>
      </c>
      <c r="N25" s="14" t="s">
        <v>456</v>
      </c>
      <c r="O25" s="14" t="s">
        <v>459</v>
      </c>
      <c r="P25" s="14" t="s">
        <v>461</v>
      </c>
      <c r="Q25" t="s">
        <v>460</v>
      </c>
      <c r="R25" t="s">
        <v>87</v>
      </c>
    </row>
    <row r="26" spans="1:18">
      <c r="A26" t="str">
        <f>ScenSummary!A26</f>
        <v>Set57_ES025_MdlMom_M_6moBF_PFHxS_40</v>
      </c>
      <c r="B26" t="str">
        <f>_xlfn.TEXTJOIN("_",TRUE,ScenSummary!G26,ScenSummary!E26)</f>
        <v>PFHxS_M</v>
      </c>
      <c r="C26" t="s">
        <v>6</v>
      </c>
      <c r="D26">
        <v>40</v>
      </c>
      <c r="E26" s="14" t="s">
        <v>440</v>
      </c>
      <c r="F26" s="14">
        <v>0</v>
      </c>
      <c r="G26" s="14" t="s">
        <v>72</v>
      </c>
      <c r="H26" t="s">
        <v>500</v>
      </c>
      <c r="I26" t="s">
        <v>442</v>
      </c>
      <c r="J26" t="s">
        <v>453</v>
      </c>
      <c r="K26">
        <v>6</v>
      </c>
      <c r="L26">
        <v>35000</v>
      </c>
      <c r="M26" s="14" t="s">
        <v>443</v>
      </c>
      <c r="N26" s="14" t="s">
        <v>456</v>
      </c>
      <c r="O26" s="14" t="s">
        <v>459</v>
      </c>
      <c r="P26" s="14" t="s">
        <v>461</v>
      </c>
      <c r="Q26" t="s">
        <v>460</v>
      </c>
      <c r="R26" t="s">
        <v>87</v>
      </c>
    </row>
    <row r="27" spans="1:18">
      <c r="A27" t="str">
        <f>ScenSummary!A27</f>
        <v>Set57_ES026_MdlMom_M_6moBF_PFHxS_50</v>
      </c>
      <c r="B27" t="str">
        <f>_xlfn.TEXTJOIN("_",TRUE,ScenSummary!G27,ScenSummary!E27)</f>
        <v>PFHxS_M</v>
      </c>
      <c r="C27" t="s">
        <v>6</v>
      </c>
      <c r="D27">
        <v>50</v>
      </c>
      <c r="E27" s="14" t="s">
        <v>440</v>
      </c>
      <c r="F27" s="14">
        <v>0</v>
      </c>
      <c r="G27" s="14" t="s">
        <v>72</v>
      </c>
      <c r="H27" t="s">
        <v>501</v>
      </c>
      <c r="I27" t="s">
        <v>442</v>
      </c>
      <c r="J27" t="s">
        <v>453</v>
      </c>
      <c r="K27">
        <v>6</v>
      </c>
      <c r="L27">
        <v>35000</v>
      </c>
      <c r="M27" s="14" t="s">
        <v>443</v>
      </c>
      <c r="N27" s="14" t="s">
        <v>456</v>
      </c>
      <c r="O27" s="14" t="s">
        <v>459</v>
      </c>
      <c r="P27" s="14" t="s">
        <v>461</v>
      </c>
      <c r="Q27" t="s">
        <v>460</v>
      </c>
      <c r="R27" t="s">
        <v>87</v>
      </c>
    </row>
    <row r="28" spans="1:18">
      <c r="A28" t="str">
        <f>ScenSummary!A28</f>
        <v>Set57_ES027_MdlMom_M_6moBF_PFHxS_60</v>
      </c>
      <c r="B28" t="str">
        <f>_xlfn.TEXTJOIN("_",TRUE,ScenSummary!G28,ScenSummary!E28)</f>
        <v>PFHxS_M</v>
      </c>
      <c r="C28" t="s">
        <v>6</v>
      </c>
      <c r="D28">
        <v>60</v>
      </c>
      <c r="E28" s="14" t="s">
        <v>440</v>
      </c>
      <c r="F28" s="14">
        <v>0</v>
      </c>
      <c r="G28" s="14" t="s">
        <v>72</v>
      </c>
      <c r="H28" t="s">
        <v>502</v>
      </c>
      <c r="I28" t="s">
        <v>442</v>
      </c>
      <c r="J28" t="s">
        <v>453</v>
      </c>
      <c r="K28">
        <v>6</v>
      </c>
      <c r="L28">
        <v>35000</v>
      </c>
      <c r="M28" s="14" t="s">
        <v>443</v>
      </c>
      <c r="N28" s="14" t="s">
        <v>456</v>
      </c>
      <c r="O28" s="14" t="s">
        <v>459</v>
      </c>
      <c r="P28" s="14" t="s">
        <v>461</v>
      </c>
      <c r="Q28" t="s">
        <v>460</v>
      </c>
      <c r="R28" t="s">
        <v>87</v>
      </c>
    </row>
    <row r="29" spans="1:18">
      <c r="A29" t="str">
        <f>ScenSummary!A29</f>
        <v>Set57_ES028_MdlMom_M_6moBF_PFHxS_70</v>
      </c>
      <c r="B29" t="str">
        <f>_xlfn.TEXTJOIN("_",TRUE,ScenSummary!G29,ScenSummary!E29)</f>
        <v>PFHxS_M</v>
      </c>
      <c r="C29" t="s">
        <v>6</v>
      </c>
      <c r="D29">
        <v>70</v>
      </c>
      <c r="E29" s="14" t="s">
        <v>440</v>
      </c>
      <c r="F29" s="14">
        <v>0</v>
      </c>
      <c r="G29" s="14" t="s">
        <v>72</v>
      </c>
      <c r="H29" t="s">
        <v>503</v>
      </c>
      <c r="I29" t="s">
        <v>442</v>
      </c>
      <c r="J29" t="s">
        <v>453</v>
      </c>
      <c r="K29">
        <v>6</v>
      </c>
      <c r="L29">
        <v>35000</v>
      </c>
      <c r="M29" s="14" t="s">
        <v>443</v>
      </c>
      <c r="N29" s="14" t="s">
        <v>456</v>
      </c>
      <c r="O29" s="14" t="s">
        <v>459</v>
      </c>
      <c r="P29" s="14" t="s">
        <v>461</v>
      </c>
      <c r="Q29" t="s">
        <v>460</v>
      </c>
      <c r="R29" t="s">
        <v>87</v>
      </c>
    </row>
    <row r="30" spans="1:18">
      <c r="A30" t="str">
        <f>ScenSummary!A30</f>
        <v>Set57_ES029_MdlMom_M_6moBF_PFHxS_80</v>
      </c>
      <c r="B30" t="str">
        <f>_xlfn.TEXTJOIN("_",TRUE,ScenSummary!G30,ScenSummary!E30)</f>
        <v>PFHxS_M</v>
      </c>
      <c r="C30" t="s">
        <v>6</v>
      </c>
      <c r="D30">
        <v>80</v>
      </c>
      <c r="E30" s="14" t="s">
        <v>440</v>
      </c>
      <c r="F30" s="14">
        <v>0</v>
      </c>
      <c r="G30" s="14" t="s">
        <v>72</v>
      </c>
      <c r="H30" t="s">
        <v>504</v>
      </c>
      <c r="I30" t="s">
        <v>442</v>
      </c>
      <c r="J30" t="s">
        <v>453</v>
      </c>
      <c r="K30">
        <v>6</v>
      </c>
      <c r="L30">
        <v>35000</v>
      </c>
      <c r="M30" s="14" t="s">
        <v>443</v>
      </c>
      <c r="N30" s="14" t="s">
        <v>456</v>
      </c>
      <c r="O30" s="14" t="s">
        <v>459</v>
      </c>
      <c r="P30" s="14" t="s">
        <v>461</v>
      </c>
      <c r="Q30" t="s">
        <v>460</v>
      </c>
      <c r="R30" t="s">
        <v>87</v>
      </c>
    </row>
    <row r="31" spans="1:18">
      <c r="A31" t="str">
        <f>ScenSummary!A31</f>
        <v>Set57_ES030_MdlMom_M_6moBF_PFHxS_90</v>
      </c>
      <c r="B31" t="str">
        <f>_xlfn.TEXTJOIN("_",TRUE,ScenSummary!G31,ScenSummary!E31)</f>
        <v>PFHxS_M</v>
      </c>
      <c r="C31" t="s">
        <v>6</v>
      </c>
      <c r="D31">
        <v>90</v>
      </c>
      <c r="E31" s="14" t="s">
        <v>440</v>
      </c>
      <c r="F31" s="14">
        <v>0</v>
      </c>
      <c r="G31" s="14" t="s">
        <v>72</v>
      </c>
      <c r="H31" t="s">
        <v>505</v>
      </c>
      <c r="I31" t="s">
        <v>442</v>
      </c>
      <c r="J31" t="s">
        <v>453</v>
      </c>
      <c r="K31">
        <v>6</v>
      </c>
      <c r="L31">
        <v>35000</v>
      </c>
      <c r="M31" s="14" t="s">
        <v>443</v>
      </c>
      <c r="N31" s="14" t="s">
        <v>456</v>
      </c>
      <c r="O31" s="14" t="s">
        <v>459</v>
      </c>
      <c r="P31" s="14" t="s">
        <v>461</v>
      </c>
      <c r="Q31" t="s">
        <v>460</v>
      </c>
      <c r="R31" t="s">
        <v>87</v>
      </c>
    </row>
    <row r="32" spans="1:18">
      <c r="A32" t="str">
        <f>ScenSummary!A32</f>
        <v>Set57_ES031_MdlMom_M_6moBF_PFNA_4</v>
      </c>
      <c r="B32" t="str">
        <f>_xlfn.TEXTJOIN("_",TRUE,ScenSummary!G32,ScenSummary!E32)</f>
        <v>PFNA_M</v>
      </c>
      <c r="C32" t="s">
        <v>5</v>
      </c>
      <c r="D32">
        <v>4</v>
      </c>
      <c r="E32" s="14" t="s">
        <v>440</v>
      </c>
      <c r="F32" s="14">
        <v>0</v>
      </c>
      <c r="G32" s="14" t="s">
        <v>72</v>
      </c>
      <c r="H32" t="s">
        <v>506</v>
      </c>
      <c r="I32" t="s">
        <v>442</v>
      </c>
      <c r="J32" t="s">
        <v>453</v>
      </c>
      <c r="K32">
        <v>6</v>
      </c>
      <c r="L32">
        <v>35000</v>
      </c>
      <c r="M32" s="14" t="s">
        <v>443</v>
      </c>
      <c r="N32" s="14" t="s">
        <v>456</v>
      </c>
      <c r="O32" s="14" t="s">
        <v>459</v>
      </c>
      <c r="P32" s="14" t="s">
        <v>461</v>
      </c>
      <c r="Q32" t="s">
        <v>460</v>
      </c>
      <c r="R32" t="s">
        <v>87</v>
      </c>
    </row>
    <row r="33" spans="1:18">
      <c r="A33" t="str">
        <f>ScenSummary!A33</f>
        <v>Set57_ES032_MdlMom_M_6moBF_PFNA_10</v>
      </c>
      <c r="B33" t="str">
        <f>_xlfn.TEXTJOIN("_",TRUE,ScenSummary!G33,ScenSummary!E33)</f>
        <v>PFNA_M</v>
      </c>
      <c r="C33" t="s">
        <v>5</v>
      </c>
      <c r="D33">
        <v>10</v>
      </c>
      <c r="E33" s="14" t="s">
        <v>440</v>
      </c>
      <c r="F33" s="14">
        <v>0</v>
      </c>
      <c r="G33" s="14" t="s">
        <v>72</v>
      </c>
      <c r="H33" t="s">
        <v>507</v>
      </c>
      <c r="I33" t="s">
        <v>442</v>
      </c>
      <c r="J33" t="s">
        <v>453</v>
      </c>
      <c r="K33">
        <v>6</v>
      </c>
      <c r="L33">
        <v>35000</v>
      </c>
      <c r="M33" s="14" t="s">
        <v>443</v>
      </c>
      <c r="N33" s="14" t="s">
        <v>456</v>
      </c>
      <c r="O33" s="14" t="s">
        <v>459</v>
      </c>
      <c r="P33" s="14" t="s">
        <v>461</v>
      </c>
      <c r="Q33" t="s">
        <v>460</v>
      </c>
      <c r="R33" t="s">
        <v>87</v>
      </c>
    </row>
    <row r="34" spans="1:18">
      <c r="A34" t="str">
        <f>ScenSummary!A34</f>
        <v>Set57_ES033_MdlMom_M_6moBF_PFNA_20</v>
      </c>
      <c r="B34" t="str">
        <f>_xlfn.TEXTJOIN("_",TRUE,ScenSummary!G34,ScenSummary!E34)</f>
        <v>PFNA_M</v>
      </c>
      <c r="C34" t="s">
        <v>5</v>
      </c>
      <c r="D34">
        <v>20</v>
      </c>
      <c r="E34" s="14" t="s">
        <v>440</v>
      </c>
      <c r="F34" s="14">
        <v>0</v>
      </c>
      <c r="G34" s="14" t="s">
        <v>72</v>
      </c>
      <c r="H34" t="s">
        <v>508</v>
      </c>
      <c r="I34" t="s">
        <v>442</v>
      </c>
      <c r="J34" t="s">
        <v>453</v>
      </c>
      <c r="K34">
        <v>6</v>
      </c>
      <c r="L34">
        <v>35000</v>
      </c>
      <c r="M34" s="14" t="s">
        <v>443</v>
      </c>
      <c r="N34" s="14" t="s">
        <v>456</v>
      </c>
      <c r="O34" s="14" t="s">
        <v>459</v>
      </c>
      <c r="P34" s="14" t="s">
        <v>461</v>
      </c>
      <c r="Q34" t="s">
        <v>460</v>
      </c>
      <c r="R34" t="s">
        <v>87</v>
      </c>
    </row>
    <row r="35" spans="1:18">
      <c r="A35" t="str">
        <f>ScenSummary!A35</f>
        <v>Set57_ES034_MdlMom_M_6moBF_PFNA_30</v>
      </c>
      <c r="B35" t="str">
        <f>_xlfn.TEXTJOIN("_",TRUE,ScenSummary!G35,ScenSummary!E35)</f>
        <v>PFNA_M</v>
      </c>
      <c r="C35" t="s">
        <v>5</v>
      </c>
      <c r="D35">
        <v>30</v>
      </c>
      <c r="E35" s="14" t="s">
        <v>440</v>
      </c>
      <c r="F35" s="14">
        <v>0</v>
      </c>
      <c r="G35" s="14" t="s">
        <v>72</v>
      </c>
      <c r="H35" t="s">
        <v>509</v>
      </c>
      <c r="I35" t="s">
        <v>442</v>
      </c>
      <c r="J35" t="s">
        <v>453</v>
      </c>
      <c r="K35">
        <v>6</v>
      </c>
      <c r="L35">
        <v>35000</v>
      </c>
      <c r="M35" s="14" t="s">
        <v>443</v>
      </c>
      <c r="N35" s="14" t="s">
        <v>456</v>
      </c>
      <c r="O35" s="14" t="s">
        <v>459</v>
      </c>
      <c r="P35" s="14" t="s">
        <v>461</v>
      </c>
      <c r="Q35" t="s">
        <v>460</v>
      </c>
      <c r="R35" t="s">
        <v>87</v>
      </c>
    </row>
    <row r="36" spans="1:18">
      <c r="A36" t="str">
        <f>ScenSummary!A36</f>
        <v>Set57_ES035_MdlMom_M_6moBF_PFNA_40</v>
      </c>
      <c r="B36" t="str">
        <f>_xlfn.TEXTJOIN("_",TRUE,ScenSummary!G36,ScenSummary!E36)</f>
        <v>PFNA_M</v>
      </c>
      <c r="C36" t="s">
        <v>5</v>
      </c>
      <c r="D36">
        <v>40</v>
      </c>
      <c r="E36" s="14" t="s">
        <v>440</v>
      </c>
      <c r="F36" s="14">
        <v>0</v>
      </c>
      <c r="G36" s="14" t="s">
        <v>72</v>
      </c>
      <c r="H36" t="s">
        <v>510</v>
      </c>
      <c r="I36" t="s">
        <v>442</v>
      </c>
      <c r="J36" t="s">
        <v>453</v>
      </c>
      <c r="K36">
        <v>6</v>
      </c>
      <c r="L36">
        <v>35000</v>
      </c>
      <c r="M36" s="14" t="s">
        <v>443</v>
      </c>
      <c r="N36" s="14" t="s">
        <v>456</v>
      </c>
      <c r="O36" s="14" t="s">
        <v>459</v>
      </c>
      <c r="P36" s="14" t="s">
        <v>461</v>
      </c>
      <c r="Q36" t="s">
        <v>460</v>
      </c>
      <c r="R36" t="s">
        <v>87</v>
      </c>
    </row>
    <row r="37" spans="1:18">
      <c r="A37" t="str">
        <f>ScenSummary!A37</f>
        <v>Set57_ES036_MdlMom_M_6moBF_PFNA_50</v>
      </c>
      <c r="B37" t="str">
        <f>_xlfn.TEXTJOIN("_",TRUE,ScenSummary!G37,ScenSummary!E37)</f>
        <v>PFNA_M</v>
      </c>
      <c r="C37" t="s">
        <v>5</v>
      </c>
      <c r="D37">
        <v>50</v>
      </c>
      <c r="E37" s="14" t="s">
        <v>440</v>
      </c>
      <c r="F37" s="14">
        <v>0</v>
      </c>
      <c r="G37" s="14" t="s">
        <v>72</v>
      </c>
      <c r="H37" t="s">
        <v>511</v>
      </c>
      <c r="I37" t="s">
        <v>442</v>
      </c>
      <c r="J37" t="s">
        <v>453</v>
      </c>
      <c r="K37">
        <v>6</v>
      </c>
      <c r="L37">
        <v>35000</v>
      </c>
      <c r="M37" s="14" t="s">
        <v>443</v>
      </c>
      <c r="N37" s="14" t="s">
        <v>456</v>
      </c>
      <c r="O37" s="14" t="s">
        <v>459</v>
      </c>
      <c r="P37" s="14" t="s">
        <v>461</v>
      </c>
      <c r="Q37" t="s">
        <v>460</v>
      </c>
      <c r="R37" t="s">
        <v>87</v>
      </c>
    </row>
    <row r="38" spans="1:18">
      <c r="A38" t="str">
        <f>ScenSummary!A38</f>
        <v>Set57_ES037_MdlMom_M_6moBF_PFNA_60</v>
      </c>
      <c r="B38" t="str">
        <f>_xlfn.TEXTJOIN("_",TRUE,ScenSummary!G38,ScenSummary!E38)</f>
        <v>PFNA_M</v>
      </c>
      <c r="C38" t="s">
        <v>5</v>
      </c>
      <c r="D38">
        <v>60</v>
      </c>
      <c r="E38" s="14" t="s">
        <v>440</v>
      </c>
      <c r="F38" s="14">
        <v>0</v>
      </c>
      <c r="G38" s="14" t="s">
        <v>72</v>
      </c>
      <c r="H38" t="s">
        <v>512</v>
      </c>
      <c r="I38" t="s">
        <v>442</v>
      </c>
      <c r="J38" t="s">
        <v>453</v>
      </c>
      <c r="K38">
        <v>6</v>
      </c>
      <c r="L38">
        <v>35000</v>
      </c>
      <c r="M38" s="14" t="s">
        <v>443</v>
      </c>
      <c r="N38" s="14" t="s">
        <v>456</v>
      </c>
      <c r="O38" s="14" t="s">
        <v>459</v>
      </c>
      <c r="P38" s="14" t="s">
        <v>461</v>
      </c>
      <c r="Q38" t="s">
        <v>460</v>
      </c>
      <c r="R38" t="s">
        <v>87</v>
      </c>
    </row>
    <row r="39" spans="1:18">
      <c r="A39" t="str">
        <f>ScenSummary!A39</f>
        <v>Set57_ES038_MdlMom_M_6moBF_PFNA_70</v>
      </c>
      <c r="B39" t="str">
        <f>_xlfn.TEXTJOIN("_",TRUE,ScenSummary!G39,ScenSummary!E39)</f>
        <v>PFNA_M</v>
      </c>
      <c r="C39" t="s">
        <v>5</v>
      </c>
      <c r="D39">
        <v>70</v>
      </c>
      <c r="E39" s="14" t="s">
        <v>440</v>
      </c>
      <c r="F39" s="14">
        <v>0</v>
      </c>
      <c r="G39" s="14" t="s">
        <v>72</v>
      </c>
      <c r="H39" t="s">
        <v>513</v>
      </c>
      <c r="I39" t="s">
        <v>442</v>
      </c>
      <c r="J39" t="s">
        <v>453</v>
      </c>
      <c r="K39">
        <v>6</v>
      </c>
      <c r="L39">
        <v>35000</v>
      </c>
      <c r="M39" s="14" t="s">
        <v>443</v>
      </c>
      <c r="N39" s="14" t="s">
        <v>456</v>
      </c>
      <c r="O39" s="14" t="s">
        <v>459</v>
      </c>
      <c r="P39" s="14" t="s">
        <v>461</v>
      </c>
      <c r="Q39" t="s">
        <v>460</v>
      </c>
      <c r="R39" t="s">
        <v>87</v>
      </c>
    </row>
    <row r="40" spans="1:18">
      <c r="A40" t="str">
        <f>ScenSummary!A40</f>
        <v>Set57_ES039_MdlMom_M_6moBF_PFNA_80</v>
      </c>
      <c r="B40" t="str">
        <f>_xlfn.TEXTJOIN("_",TRUE,ScenSummary!G40,ScenSummary!E40)</f>
        <v>PFNA_M</v>
      </c>
      <c r="C40" t="s">
        <v>5</v>
      </c>
      <c r="D40">
        <v>80</v>
      </c>
      <c r="E40" s="14" t="s">
        <v>440</v>
      </c>
      <c r="F40" s="14">
        <v>0</v>
      </c>
      <c r="G40" s="14" t="s">
        <v>72</v>
      </c>
      <c r="H40" t="s">
        <v>514</v>
      </c>
      <c r="I40" t="s">
        <v>442</v>
      </c>
      <c r="J40" t="s">
        <v>453</v>
      </c>
      <c r="K40">
        <v>6</v>
      </c>
      <c r="L40">
        <v>35000</v>
      </c>
      <c r="M40" s="14" t="s">
        <v>443</v>
      </c>
      <c r="N40" s="14" t="s">
        <v>456</v>
      </c>
      <c r="O40" s="14" t="s">
        <v>459</v>
      </c>
      <c r="P40" s="14" t="s">
        <v>461</v>
      </c>
      <c r="Q40" t="s">
        <v>460</v>
      </c>
      <c r="R40" t="s">
        <v>87</v>
      </c>
    </row>
    <row r="41" spans="1:18">
      <c r="A41" t="str">
        <f>ScenSummary!A41</f>
        <v>Set57_ES040_MdlMom_M_6moBF_PFNA_90</v>
      </c>
      <c r="B41" t="str">
        <f>_xlfn.TEXTJOIN("_",TRUE,ScenSummary!G41,ScenSummary!E41)</f>
        <v>PFNA_M</v>
      </c>
      <c r="C41" t="s">
        <v>5</v>
      </c>
      <c r="D41">
        <v>90</v>
      </c>
      <c r="E41" s="14" t="s">
        <v>440</v>
      </c>
      <c r="F41" s="14">
        <v>0</v>
      </c>
      <c r="G41" s="14" t="s">
        <v>72</v>
      </c>
      <c r="H41" t="s">
        <v>515</v>
      </c>
      <c r="I41" t="s">
        <v>442</v>
      </c>
      <c r="J41" t="s">
        <v>453</v>
      </c>
      <c r="K41">
        <v>6</v>
      </c>
      <c r="L41">
        <v>35000</v>
      </c>
      <c r="M41" s="14" t="s">
        <v>443</v>
      </c>
      <c r="N41" s="14" t="s">
        <v>456</v>
      </c>
      <c r="O41" s="14" t="s">
        <v>459</v>
      </c>
      <c r="P41" s="14" t="s">
        <v>461</v>
      </c>
      <c r="Q41" t="s">
        <v>460</v>
      </c>
      <c r="R41" t="s">
        <v>87</v>
      </c>
    </row>
    <row r="42" spans="1:18">
      <c r="A42" t="str">
        <f>ScenSummary!A42</f>
        <v>Set57_ES041_MdlMom_M_6moBF_PFDA_4</v>
      </c>
      <c r="B42" t="str">
        <f>_xlfn.TEXTJOIN("_",TRUE,ScenSummary!G42,ScenSummary!E42)</f>
        <v>PFDA_M</v>
      </c>
      <c r="C42" t="s">
        <v>36</v>
      </c>
      <c r="D42">
        <v>4</v>
      </c>
      <c r="E42" s="14" t="s">
        <v>440</v>
      </c>
      <c r="F42" s="14">
        <v>0</v>
      </c>
      <c r="G42" s="14" t="s">
        <v>72</v>
      </c>
      <c r="H42" t="s">
        <v>516</v>
      </c>
      <c r="I42" t="s">
        <v>442</v>
      </c>
      <c r="J42" t="s">
        <v>453</v>
      </c>
      <c r="K42">
        <v>6</v>
      </c>
      <c r="L42">
        <v>35000</v>
      </c>
      <c r="M42" s="14" t="s">
        <v>443</v>
      </c>
      <c r="N42" s="14" t="s">
        <v>456</v>
      </c>
      <c r="O42" s="14" t="s">
        <v>459</v>
      </c>
      <c r="P42" s="14" t="s">
        <v>461</v>
      </c>
      <c r="Q42" t="s">
        <v>460</v>
      </c>
      <c r="R42" t="s">
        <v>87</v>
      </c>
    </row>
    <row r="43" spans="1:18">
      <c r="A43" t="str">
        <f>ScenSummary!A43</f>
        <v>Set57_ES042_MdlMom_M_6moBF_PFDA_10</v>
      </c>
      <c r="B43" t="str">
        <f>_xlfn.TEXTJOIN("_",TRUE,ScenSummary!G43,ScenSummary!E43)</f>
        <v>PFDA_M</v>
      </c>
      <c r="C43" t="s">
        <v>36</v>
      </c>
      <c r="D43">
        <v>10</v>
      </c>
      <c r="E43" s="14" t="s">
        <v>440</v>
      </c>
      <c r="F43" s="14">
        <v>0</v>
      </c>
      <c r="G43" s="14" t="s">
        <v>72</v>
      </c>
      <c r="H43" t="s">
        <v>517</v>
      </c>
      <c r="I43" t="s">
        <v>442</v>
      </c>
      <c r="J43" t="s">
        <v>453</v>
      </c>
      <c r="K43">
        <v>6</v>
      </c>
      <c r="L43">
        <v>35000</v>
      </c>
      <c r="M43" s="14" t="s">
        <v>443</v>
      </c>
      <c r="N43" s="14" t="s">
        <v>456</v>
      </c>
      <c r="O43" s="14" t="s">
        <v>459</v>
      </c>
      <c r="P43" s="14" t="s">
        <v>461</v>
      </c>
      <c r="Q43" t="s">
        <v>460</v>
      </c>
      <c r="R43" t="s">
        <v>87</v>
      </c>
    </row>
    <row r="44" spans="1:18">
      <c r="A44" t="str">
        <f>ScenSummary!A44</f>
        <v>Set57_ES043_MdlMom_M_6moBF_PFDA_20</v>
      </c>
      <c r="B44" t="str">
        <f>_xlfn.TEXTJOIN("_",TRUE,ScenSummary!G44,ScenSummary!E44)</f>
        <v>PFDA_M</v>
      </c>
      <c r="C44" t="s">
        <v>36</v>
      </c>
      <c r="D44">
        <v>20</v>
      </c>
      <c r="E44" s="14" t="s">
        <v>440</v>
      </c>
      <c r="F44" s="14">
        <v>0</v>
      </c>
      <c r="G44" s="14" t="s">
        <v>72</v>
      </c>
      <c r="H44" t="s">
        <v>518</v>
      </c>
      <c r="I44" t="s">
        <v>442</v>
      </c>
      <c r="J44" t="s">
        <v>453</v>
      </c>
      <c r="K44">
        <v>6</v>
      </c>
      <c r="L44">
        <v>35000</v>
      </c>
      <c r="M44" s="14" t="s">
        <v>443</v>
      </c>
      <c r="N44" s="14" t="s">
        <v>456</v>
      </c>
      <c r="O44" s="14" t="s">
        <v>459</v>
      </c>
      <c r="P44" s="14" t="s">
        <v>461</v>
      </c>
      <c r="Q44" t="s">
        <v>460</v>
      </c>
      <c r="R44" t="s">
        <v>87</v>
      </c>
    </row>
    <row r="45" spans="1:18">
      <c r="A45" t="str">
        <f>ScenSummary!A45</f>
        <v>Set57_ES044_MdlMom_M_6moBF_PFDA_30</v>
      </c>
      <c r="B45" t="str">
        <f>_xlfn.TEXTJOIN("_",TRUE,ScenSummary!G45,ScenSummary!E45)</f>
        <v>PFDA_M</v>
      </c>
      <c r="C45" t="s">
        <v>36</v>
      </c>
      <c r="D45">
        <v>30</v>
      </c>
      <c r="E45" s="14" t="s">
        <v>440</v>
      </c>
      <c r="F45" s="14">
        <v>0</v>
      </c>
      <c r="G45" s="14" t="s">
        <v>72</v>
      </c>
      <c r="H45" t="s">
        <v>519</v>
      </c>
      <c r="I45" t="s">
        <v>442</v>
      </c>
      <c r="J45" t="s">
        <v>453</v>
      </c>
      <c r="K45">
        <v>6</v>
      </c>
      <c r="L45">
        <v>35000</v>
      </c>
      <c r="M45" s="14" t="s">
        <v>443</v>
      </c>
      <c r="N45" s="14" t="s">
        <v>456</v>
      </c>
      <c r="O45" s="14" t="s">
        <v>459</v>
      </c>
      <c r="P45" s="14" t="s">
        <v>461</v>
      </c>
      <c r="Q45" t="s">
        <v>460</v>
      </c>
      <c r="R45" t="s">
        <v>87</v>
      </c>
    </row>
    <row r="46" spans="1:18">
      <c r="A46" t="str">
        <f>ScenSummary!A46</f>
        <v>Set57_ES045_MdlMom_M_6moBF_PFDA_40</v>
      </c>
      <c r="B46" t="str">
        <f>_xlfn.TEXTJOIN("_",TRUE,ScenSummary!G46,ScenSummary!E46)</f>
        <v>PFDA_M</v>
      </c>
      <c r="C46" t="s">
        <v>36</v>
      </c>
      <c r="D46">
        <v>40</v>
      </c>
      <c r="E46" s="14" t="s">
        <v>440</v>
      </c>
      <c r="F46" s="14">
        <v>0</v>
      </c>
      <c r="G46" s="14" t="s">
        <v>72</v>
      </c>
      <c r="H46" t="s">
        <v>520</v>
      </c>
      <c r="I46" t="s">
        <v>442</v>
      </c>
      <c r="J46" t="s">
        <v>453</v>
      </c>
      <c r="K46">
        <v>6</v>
      </c>
      <c r="L46">
        <v>35000</v>
      </c>
      <c r="M46" s="14" t="s">
        <v>443</v>
      </c>
      <c r="N46" s="14" t="s">
        <v>456</v>
      </c>
      <c r="O46" s="14" t="s">
        <v>459</v>
      </c>
      <c r="P46" s="14" t="s">
        <v>461</v>
      </c>
      <c r="Q46" t="s">
        <v>460</v>
      </c>
      <c r="R46" t="s">
        <v>87</v>
      </c>
    </row>
    <row r="47" spans="1:18">
      <c r="A47" t="str">
        <f>ScenSummary!A47</f>
        <v>Set57_ES046_MdlMom_M_6moBF_PFDA_50</v>
      </c>
      <c r="B47" t="str">
        <f>_xlfn.TEXTJOIN("_",TRUE,ScenSummary!G47,ScenSummary!E47)</f>
        <v>PFDA_M</v>
      </c>
      <c r="C47" t="s">
        <v>36</v>
      </c>
      <c r="D47">
        <v>50</v>
      </c>
      <c r="E47" s="14" t="s">
        <v>440</v>
      </c>
      <c r="F47" s="14">
        <v>0</v>
      </c>
      <c r="G47" s="14" t="s">
        <v>72</v>
      </c>
      <c r="H47" t="s">
        <v>521</v>
      </c>
      <c r="I47" t="s">
        <v>442</v>
      </c>
      <c r="J47" t="s">
        <v>453</v>
      </c>
      <c r="K47">
        <v>6</v>
      </c>
      <c r="L47">
        <v>35000</v>
      </c>
      <c r="M47" s="14" t="s">
        <v>443</v>
      </c>
      <c r="N47" s="14" t="s">
        <v>456</v>
      </c>
      <c r="O47" s="14" t="s">
        <v>459</v>
      </c>
      <c r="P47" s="14" t="s">
        <v>461</v>
      </c>
      <c r="Q47" t="s">
        <v>460</v>
      </c>
      <c r="R47" t="s">
        <v>87</v>
      </c>
    </row>
    <row r="48" spans="1:18">
      <c r="A48" t="str">
        <f>ScenSummary!A48</f>
        <v>Set57_ES047_MdlMom_M_6moBF_PFDA_60</v>
      </c>
      <c r="B48" t="str">
        <f>_xlfn.TEXTJOIN("_",TRUE,ScenSummary!G48,ScenSummary!E48)</f>
        <v>PFDA_M</v>
      </c>
      <c r="C48" t="s">
        <v>36</v>
      </c>
      <c r="D48">
        <v>60</v>
      </c>
      <c r="E48" s="14" t="s">
        <v>440</v>
      </c>
      <c r="F48" s="14">
        <v>0</v>
      </c>
      <c r="G48" s="14" t="s">
        <v>72</v>
      </c>
      <c r="H48" t="s">
        <v>522</v>
      </c>
      <c r="I48" t="s">
        <v>442</v>
      </c>
      <c r="J48" t="s">
        <v>453</v>
      </c>
      <c r="K48">
        <v>6</v>
      </c>
      <c r="L48">
        <v>35000</v>
      </c>
      <c r="M48" s="14" t="s">
        <v>443</v>
      </c>
      <c r="N48" s="14" t="s">
        <v>456</v>
      </c>
      <c r="O48" s="14" t="s">
        <v>459</v>
      </c>
      <c r="P48" s="14" t="s">
        <v>461</v>
      </c>
      <c r="Q48" t="s">
        <v>460</v>
      </c>
      <c r="R48" t="s">
        <v>87</v>
      </c>
    </row>
    <row r="49" spans="1:18">
      <c r="A49" t="str">
        <f>ScenSummary!A49</f>
        <v>Set57_ES048_MdlMom_M_6moBF_PFDA_70</v>
      </c>
      <c r="B49" t="str">
        <f>_xlfn.TEXTJOIN("_",TRUE,ScenSummary!G49,ScenSummary!E49)</f>
        <v>PFDA_M</v>
      </c>
      <c r="C49" t="s">
        <v>36</v>
      </c>
      <c r="D49">
        <v>70</v>
      </c>
      <c r="E49" s="14" t="s">
        <v>440</v>
      </c>
      <c r="F49" s="14">
        <v>0</v>
      </c>
      <c r="G49" s="14" t="s">
        <v>72</v>
      </c>
      <c r="H49" t="s">
        <v>523</v>
      </c>
      <c r="I49" t="s">
        <v>442</v>
      </c>
      <c r="J49" t="s">
        <v>453</v>
      </c>
      <c r="K49">
        <v>6</v>
      </c>
      <c r="L49">
        <v>35000</v>
      </c>
      <c r="M49" s="14" t="s">
        <v>443</v>
      </c>
      <c r="N49" s="14" t="s">
        <v>456</v>
      </c>
      <c r="O49" s="14" t="s">
        <v>459</v>
      </c>
      <c r="P49" s="14" t="s">
        <v>461</v>
      </c>
      <c r="Q49" t="s">
        <v>460</v>
      </c>
      <c r="R49" t="s">
        <v>87</v>
      </c>
    </row>
    <row r="50" spans="1:18">
      <c r="A50" t="str">
        <f>ScenSummary!A50</f>
        <v>Set57_ES049_MdlMom_M_6moBF_PFDA_80</v>
      </c>
      <c r="B50" t="str">
        <f>_xlfn.TEXTJOIN("_",TRUE,ScenSummary!G50,ScenSummary!E50)</f>
        <v>PFDA_M</v>
      </c>
      <c r="C50" t="s">
        <v>36</v>
      </c>
      <c r="D50">
        <v>80</v>
      </c>
      <c r="E50" s="14" t="s">
        <v>440</v>
      </c>
      <c r="F50" s="14">
        <v>0</v>
      </c>
      <c r="G50" s="14" t="s">
        <v>72</v>
      </c>
      <c r="H50" t="s">
        <v>524</v>
      </c>
      <c r="I50" t="s">
        <v>442</v>
      </c>
      <c r="J50" t="s">
        <v>453</v>
      </c>
      <c r="K50">
        <v>6</v>
      </c>
      <c r="L50">
        <v>35000</v>
      </c>
      <c r="M50" s="14" t="s">
        <v>443</v>
      </c>
      <c r="N50" s="14" t="s">
        <v>456</v>
      </c>
      <c r="O50" s="14" t="s">
        <v>459</v>
      </c>
      <c r="P50" s="14" t="s">
        <v>461</v>
      </c>
      <c r="Q50" t="s">
        <v>460</v>
      </c>
      <c r="R50" t="s">
        <v>87</v>
      </c>
    </row>
    <row r="51" spans="1:18">
      <c r="A51" t="str">
        <f>ScenSummary!A51</f>
        <v>Set57_ES050_MdlMom_M_6moBF_PFDA_90</v>
      </c>
      <c r="B51" t="str">
        <f>_xlfn.TEXTJOIN("_",TRUE,ScenSummary!G51,ScenSummary!E51)</f>
        <v>PFDA_M</v>
      </c>
      <c r="C51" t="s">
        <v>36</v>
      </c>
      <c r="D51">
        <v>90</v>
      </c>
      <c r="E51" s="14" t="s">
        <v>440</v>
      </c>
      <c r="F51" s="14">
        <v>0</v>
      </c>
      <c r="G51" s="14" t="s">
        <v>72</v>
      </c>
      <c r="H51" t="s">
        <v>525</v>
      </c>
      <c r="I51" t="s">
        <v>442</v>
      </c>
      <c r="J51" t="s">
        <v>453</v>
      </c>
      <c r="K51">
        <v>6</v>
      </c>
      <c r="L51">
        <v>35000</v>
      </c>
      <c r="M51" s="14" t="s">
        <v>443</v>
      </c>
      <c r="N51" s="14" t="s">
        <v>456</v>
      </c>
      <c r="O51" s="14" t="s">
        <v>459</v>
      </c>
      <c r="P51" s="14" t="s">
        <v>461</v>
      </c>
      <c r="Q51" t="s">
        <v>460</v>
      </c>
      <c r="R51" t="s">
        <v>87</v>
      </c>
    </row>
    <row r="52" spans="1:18">
      <c r="A52" t="str">
        <f>ScenSummary!A52</f>
        <v>Set57_ES051_MdlMom_M_6moBF_PFHpA_4</v>
      </c>
      <c r="B52" t="str">
        <f>_xlfn.TEXTJOIN("_",TRUE,ScenSummary!G52,ScenSummary!E52)</f>
        <v>PFHpA_M</v>
      </c>
      <c r="C52" t="s">
        <v>35</v>
      </c>
      <c r="D52">
        <v>4</v>
      </c>
      <c r="E52" s="14" t="s">
        <v>440</v>
      </c>
      <c r="F52" s="14">
        <v>0</v>
      </c>
      <c r="G52" s="14" t="s">
        <v>72</v>
      </c>
      <c r="H52" t="s">
        <v>526</v>
      </c>
      <c r="I52" t="s">
        <v>442</v>
      </c>
      <c r="J52" t="s">
        <v>453</v>
      </c>
      <c r="K52">
        <v>6</v>
      </c>
      <c r="L52">
        <v>35000</v>
      </c>
      <c r="M52" s="14" t="s">
        <v>443</v>
      </c>
      <c r="N52" s="14" t="s">
        <v>456</v>
      </c>
      <c r="O52" s="14" t="s">
        <v>459</v>
      </c>
      <c r="P52" s="14" t="s">
        <v>461</v>
      </c>
      <c r="Q52" t="s">
        <v>460</v>
      </c>
      <c r="R52" t="s">
        <v>87</v>
      </c>
    </row>
    <row r="53" spans="1:18">
      <c r="A53" t="str">
        <f>ScenSummary!A53</f>
        <v>Set57_ES052_MdlMom_M_6moBF_PFHpA_10</v>
      </c>
      <c r="B53" t="str">
        <f>_xlfn.TEXTJOIN("_",TRUE,ScenSummary!G53,ScenSummary!E53)</f>
        <v>PFHpA_M</v>
      </c>
      <c r="C53" t="s">
        <v>35</v>
      </c>
      <c r="D53">
        <v>10</v>
      </c>
      <c r="E53" s="14" t="s">
        <v>440</v>
      </c>
      <c r="F53" s="14">
        <v>0</v>
      </c>
      <c r="G53" s="14" t="s">
        <v>72</v>
      </c>
      <c r="H53" t="s">
        <v>527</v>
      </c>
      <c r="I53" t="s">
        <v>442</v>
      </c>
      <c r="J53" t="s">
        <v>453</v>
      </c>
      <c r="K53">
        <v>6</v>
      </c>
      <c r="L53">
        <v>35000</v>
      </c>
      <c r="M53" s="14" t="s">
        <v>443</v>
      </c>
      <c r="N53" s="14" t="s">
        <v>456</v>
      </c>
      <c r="O53" s="14" t="s">
        <v>459</v>
      </c>
      <c r="P53" s="14" t="s">
        <v>461</v>
      </c>
      <c r="Q53" t="s">
        <v>460</v>
      </c>
      <c r="R53" t="s">
        <v>87</v>
      </c>
    </row>
    <row r="54" spans="1:18">
      <c r="A54" t="str">
        <f>ScenSummary!A54</f>
        <v>Set57_ES053_MdlMom_M_6moBF_PFHpA_20</v>
      </c>
      <c r="B54" t="str">
        <f>_xlfn.TEXTJOIN("_",TRUE,ScenSummary!G54,ScenSummary!E54)</f>
        <v>PFHpA_M</v>
      </c>
      <c r="C54" t="s">
        <v>35</v>
      </c>
      <c r="D54">
        <v>20</v>
      </c>
      <c r="E54" s="14" t="s">
        <v>440</v>
      </c>
      <c r="F54" s="14">
        <v>0</v>
      </c>
      <c r="G54" s="14" t="s">
        <v>72</v>
      </c>
      <c r="H54" t="s">
        <v>528</v>
      </c>
      <c r="I54" t="s">
        <v>442</v>
      </c>
      <c r="J54" t="s">
        <v>453</v>
      </c>
      <c r="K54">
        <v>6</v>
      </c>
      <c r="L54">
        <v>35000</v>
      </c>
      <c r="M54" s="14" t="s">
        <v>443</v>
      </c>
      <c r="N54" s="14" t="s">
        <v>456</v>
      </c>
      <c r="O54" s="14" t="s">
        <v>459</v>
      </c>
      <c r="P54" s="14" t="s">
        <v>461</v>
      </c>
      <c r="Q54" t="s">
        <v>460</v>
      </c>
      <c r="R54" t="s">
        <v>87</v>
      </c>
    </row>
    <row r="55" spans="1:18">
      <c r="A55" t="str">
        <f>ScenSummary!A55</f>
        <v>Set57_ES054_MdlMom_M_6moBF_PFHpA_30</v>
      </c>
      <c r="B55" t="str">
        <f>_xlfn.TEXTJOIN("_",TRUE,ScenSummary!G55,ScenSummary!E55)</f>
        <v>PFHpA_M</v>
      </c>
      <c r="C55" t="s">
        <v>35</v>
      </c>
      <c r="D55">
        <v>30</v>
      </c>
      <c r="E55" s="14" t="s">
        <v>440</v>
      </c>
      <c r="F55" s="14">
        <v>0</v>
      </c>
      <c r="G55" s="14" t="s">
        <v>72</v>
      </c>
      <c r="H55" t="s">
        <v>529</v>
      </c>
      <c r="I55" t="s">
        <v>442</v>
      </c>
      <c r="J55" t="s">
        <v>453</v>
      </c>
      <c r="K55">
        <v>6</v>
      </c>
      <c r="L55">
        <v>35000</v>
      </c>
      <c r="M55" s="14" t="s">
        <v>443</v>
      </c>
      <c r="N55" s="14" t="s">
        <v>456</v>
      </c>
      <c r="O55" s="14" t="s">
        <v>459</v>
      </c>
      <c r="P55" s="14" t="s">
        <v>461</v>
      </c>
      <c r="Q55" t="s">
        <v>460</v>
      </c>
      <c r="R55" t="s">
        <v>87</v>
      </c>
    </row>
    <row r="56" spans="1:18">
      <c r="A56" t="str">
        <f>ScenSummary!A56</f>
        <v>Set57_ES055_MdlMom_M_6moBF_PFHpA_40</v>
      </c>
      <c r="B56" t="str">
        <f>_xlfn.TEXTJOIN("_",TRUE,ScenSummary!G56,ScenSummary!E56)</f>
        <v>PFHpA_M</v>
      </c>
      <c r="C56" t="s">
        <v>35</v>
      </c>
      <c r="D56">
        <v>40</v>
      </c>
      <c r="E56" s="14" t="s">
        <v>440</v>
      </c>
      <c r="F56" s="14">
        <v>0</v>
      </c>
      <c r="G56" s="14" t="s">
        <v>72</v>
      </c>
      <c r="H56" t="s">
        <v>530</v>
      </c>
      <c r="I56" t="s">
        <v>442</v>
      </c>
      <c r="J56" t="s">
        <v>453</v>
      </c>
      <c r="K56">
        <v>6</v>
      </c>
      <c r="L56">
        <v>35000</v>
      </c>
      <c r="M56" s="14" t="s">
        <v>443</v>
      </c>
      <c r="N56" s="14" t="s">
        <v>456</v>
      </c>
      <c r="O56" s="14" t="s">
        <v>459</v>
      </c>
      <c r="P56" s="14" t="s">
        <v>461</v>
      </c>
      <c r="Q56" t="s">
        <v>460</v>
      </c>
      <c r="R56" t="s">
        <v>87</v>
      </c>
    </row>
    <row r="57" spans="1:18">
      <c r="A57" t="str">
        <f>ScenSummary!A57</f>
        <v>Set57_ES056_MdlMom_M_6moBF_PFHpA_50</v>
      </c>
      <c r="B57" t="str">
        <f>_xlfn.TEXTJOIN("_",TRUE,ScenSummary!G57,ScenSummary!E57)</f>
        <v>PFHpA_M</v>
      </c>
      <c r="C57" t="s">
        <v>35</v>
      </c>
      <c r="D57">
        <v>50</v>
      </c>
      <c r="E57" s="14" t="s">
        <v>440</v>
      </c>
      <c r="F57" s="14">
        <v>0</v>
      </c>
      <c r="G57" s="14" t="s">
        <v>72</v>
      </c>
      <c r="H57" t="s">
        <v>531</v>
      </c>
      <c r="I57" t="s">
        <v>442</v>
      </c>
      <c r="J57" t="s">
        <v>453</v>
      </c>
      <c r="K57">
        <v>6</v>
      </c>
      <c r="L57">
        <v>35000</v>
      </c>
      <c r="M57" s="14" t="s">
        <v>443</v>
      </c>
      <c r="N57" s="14" t="s">
        <v>456</v>
      </c>
      <c r="O57" s="14" t="s">
        <v>459</v>
      </c>
      <c r="P57" s="14" t="s">
        <v>461</v>
      </c>
      <c r="Q57" t="s">
        <v>460</v>
      </c>
      <c r="R57" t="s">
        <v>87</v>
      </c>
    </row>
    <row r="58" spans="1:18">
      <c r="A58" t="str">
        <f>ScenSummary!A58</f>
        <v>Set57_ES057_MdlMom_M_6moBF_PFHpA_60</v>
      </c>
      <c r="B58" t="str">
        <f>_xlfn.TEXTJOIN("_",TRUE,ScenSummary!G58,ScenSummary!E58)</f>
        <v>PFHpA_M</v>
      </c>
      <c r="C58" t="s">
        <v>35</v>
      </c>
      <c r="D58">
        <v>60</v>
      </c>
      <c r="E58" s="14" t="s">
        <v>440</v>
      </c>
      <c r="F58" s="14">
        <v>0</v>
      </c>
      <c r="G58" s="14" t="s">
        <v>72</v>
      </c>
      <c r="H58" t="s">
        <v>532</v>
      </c>
      <c r="I58" t="s">
        <v>442</v>
      </c>
      <c r="J58" t="s">
        <v>453</v>
      </c>
      <c r="K58">
        <v>6</v>
      </c>
      <c r="L58">
        <v>35000</v>
      </c>
      <c r="M58" s="14" t="s">
        <v>443</v>
      </c>
      <c r="N58" s="14" t="s">
        <v>456</v>
      </c>
      <c r="O58" s="14" t="s">
        <v>459</v>
      </c>
      <c r="P58" s="14" t="s">
        <v>461</v>
      </c>
      <c r="Q58" t="s">
        <v>460</v>
      </c>
      <c r="R58" t="s">
        <v>87</v>
      </c>
    </row>
    <row r="59" spans="1:18">
      <c r="A59" t="str">
        <f>ScenSummary!A59</f>
        <v>Set57_ES058_MdlMom_M_6moBF_PFHpA_70</v>
      </c>
      <c r="B59" t="str">
        <f>_xlfn.TEXTJOIN("_",TRUE,ScenSummary!G59,ScenSummary!E59)</f>
        <v>PFHpA_M</v>
      </c>
      <c r="C59" t="s">
        <v>35</v>
      </c>
      <c r="D59">
        <v>70</v>
      </c>
      <c r="E59" s="14" t="s">
        <v>440</v>
      </c>
      <c r="F59" s="14">
        <v>0</v>
      </c>
      <c r="G59" s="14" t="s">
        <v>72</v>
      </c>
      <c r="H59" t="s">
        <v>533</v>
      </c>
      <c r="I59" t="s">
        <v>442</v>
      </c>
      <c r="J59" t="s">
        <v>453</v>
      </c>
      <c r="K59">
        <v>6</v>
      </c>
      <c r="L59">
        <v>35000</v>
      </c>
      <c r="M59" s="14" t="s">
        <v>443</v>
      </c>
      <c r="N59" s="14" t="s">
        <v>456</v>
      </c>
      <c r="O59" s="14" t="s">
        <v>459</v>
      </c>
      <c r="P59" s="14" t="s">
        <v>461</v>
      </c>
      <c r="Q59" t="s">
        <v>460</v>
      </c>
      <c r="R59" t="s">
        <v>87</v>
      </c>
    </row>
    <row r="60" spans="1:18">
      <c r="A60" t="str">
        <f>ScenSummary!A60</f>
        <v>Set57_ES059_MdlMom_M_6moBF_PFHpA_80</v>
      </c>
      <c r="B60" t="str">
        <f>_xlfn.TEXTJOIN("_",TRUE,ScenSummary!G60,ScenSummary!E60)</f>
        <v>PFHpA_M</v>
      </c>
      <c r="C60" t="s">
        <v>35</v>
      </c>
      <c r="D60">
        <v>80</v>
      </c>
      <c r="E60" s="14" t="s">
        <v>440</v>
      </c>
      <c r="F60" s="14">
        <v>0</v>
      </c>
      <c r="G60" s="14" t="s">
        <v>72</v>
      </c>
      <c r="H60" t="s">
        <v>534</v>
      </c>
      <c r="I60" t="s">
        <v>442</v>
      </c>
      <c r="J60" t="s">
        <v>453</v>
      </c>
      <c r="K60">
        <v>6</v>
      </c>
      <c r="L60">
        <v>35000</v>
      </c>
      <c r="M60" s="14" t="s">
        <v>443</v>
      </c>
      <c r="N60" s="14" t="s">
        <v>456</v>
      </c>
      <c r="O60" s="14" t="s">
        <v>459</v>
      </c>
      <c r="P60" s="14" t="s">
        <v>461</v>
      </c>
      <c r="Q60" t="s">
        <v>460</v>
      </c>
      <c r="R60" t="s">
        <v>87</v>
      </c>
    </row>
    <row r="61" spans="1:18">
      <c r="A61" t="str">
        <f>ScenSummary!A61</f>
        <v>Set57_ES060_MdlMom_M_6moBF_PFHpA_90</v>
      </c>
      <c r="B61" t="str">
        <f>_xlfn.TEXTJOIN("_",TRUE,ScenSummary!G61,ScenSummary!E61)</f>
        <v>PFHpA_M</v>
      </c>
      <c r="C61" t="s">
        <v>35</v>
      </c>
      <c r="D61">
        <v>90</v>
      </c>
      <c r="E61" s="14" t="s">
        <v>440</v>
      </c>
      <c r="F61" s="14">
        <v>0</v>
      </c>
      <c r="G61" s="14" t="s">
        <v>72</v>
      </c>
      <c r="H61" t="s">
        <v>535</v>
      </c>
      <c r="I61" t="s">
        <v>442</v>
      </c>
      <c r="J61" t="s">
        <v>453</v>
      </c>
      <c r="K61">
        <v>6</v>
      </c>
      <c r="L61">
        <v>35000</v>
      </c>
      <c r="M61" s="14" t="s">
        <v>443</v>
      </c>
      <c r="N61" s="14" t="s">
        <v>456</v>
      </c>
      <c r="O61" s="14" t="s">
        <v>459</v>
      </c>
      <c r="P61" s="14" t="s">
        <v>461</v>
      </c>
      <c r="Q61" t="s">
        <v>460</v>
      </c>
      <c r="R61"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BB04-1A9D-43E6-B1FC-8A67B11D7D6E}">
  <dimension ref="A1:H61"/>
  <sheetViews>
    <sheetView zoomScale="85" zoomScaleNormal="85" workbookViewId="0">
      <selection activeCell="I10" sqref="I10"/>
    </sheetView>
  </sheetViews>
  <sheetFormatPr defaultRowHeight="14.5"/>
  <cols>
    <col min="1" max="1" width="60.08984375" customWidth="1"/>
    <col min="7" max="7" width="16.81640625" customWidth="1"/>
  </cols>
  <sheetData>
    <row r="1" spans="1:8">
      <c r="A1" t="s">
        <v>325</v>
      </c>
      <c r="B1" t="s">
        <v>299</v>
      </c>
      <c r="C1" t="s">
        <v>300</v>
      </c>
      <c r="D1" t="s">
        <v>303</v>
      </c>
      <c r="E1" t="s">
        <v>302</v>
      </c>
      <c r="F1" t="s">
        <v>439</v>
      </c>
      <c r="G1" t="s">
        <v>2</v>
      </c>
      <c r="H1" t="s">
        <v>304</v>
      </c>
    </row>
    <row r="2" spans="1:8">
      <c r="A2" s="18" t="str">
        <f>_xlfn.TEXTJOIN("_",TRUE,B2:H2)</f>
        <v>Set57_ES001_MdlMom_M_6moBF_PFOA_4</v>
      </c>
      <c r="B2" t="s">
        <v>475</v>
      </c>
      <c r="C2" t="s">
        <v>305</v>
      </c>
      <c r="D2" t="s">
        <v>451</v>
      </c>
      <c r="E2" t="s">
        <v>455</v>
      </c>
      <c r="F2" t="s">
        <v>452</v>
      </c>
      <c r="G2" t="s">
        <v>3</v>
      </c>
      <c r="H2">
        <v>4</v>
      </c>
    </row>
    <row r="3" spans="1:8">
      <c r="A3" s="18" t="str">
        <f>_xlfn.TEXTJOIN("_",TRUE,B3:H3)</f>
        <v>Set57_ES002_MdlMom_M_6moBF_PFOA_10</v>
      </c>
      <c r="B3" t="s">
        <v>475</v>
      </c>
      <c r="C3" t="s">
        <v>306</v>
      </c>
      <c r="D3" t="s">
        <v>451</v>
      </c>
      <c r="E3" t="s">
        <v>455</v>
      </c>
      <c r="F3" t="s">
        <v>452</v>
      </c>
      <c r="G3" t="s">
        <v>3</v>
      </c>
      <c r="H3">
        <v>10</v>
      </c>
    </row>
    <row r="4" spans="1:8">
      <c r="A4" s="18" t="str">
        <f t="shared" ref="A4:A60" si="0">_xlfn.TEXTJOIN("_",TRUE,B4:H4)</f>
        <v>Set57_ES003_MdlMom_M_6moBF_PFOA_20</v>
      </c>
      <c r="B4" t="s">
        <v>475</v>
      </c>
      <c r="C4" t="s">
        <v>307</v>
      </c>
      <c r="D4" t="s">
        <v>451</v>
      </c>
      <c r="E4" t="s">
        <v>455</v>
      </c>
      <c r="F4" t="s">
        <v>452</v>
      </c>
      <c r="G4" t="s">
        <v>3</v>
      </c>
      <c r="H4">
        <v>20</v>
      </c>
    </row>
    <row r="5" spans="1:8">
      <c r="A5" s="18" t="str">
        <f t="shared" si="0"/>
        <v>Set57_ES004_MdlMom_M_6moBF_PFOA_30</v>
      </c>
      <c r="B5" t="s">
        <v>475</v>
      </c>
      <c r="C5" t="s">
        <v>308</v>
      </c>
      <c r="D5" t="s">
        <v>451</v>
      </c>
      <c r="E5" t="s">
        <v>455</v>
      </c>
      <c r="F5" t="s">
        <v>452</v>
      </c>
      <c r="G5" t="s">
        <v>3</v>
      </c>
      <c r="H5">
        <v>30</v>
      </c>
    </row>
    <row r="6" spans="1:8">
      <c r="A6" s="18" t="str">
        <f t="shared" si="0"/>
        <v>Set57_ES005_MdlMom_M_6moBF_PFOA_40</v>
      </c>
      <c r="B6" t="s">
        <v>475</v>
      </c>
      <c r="C6" t="s">
        <v>309</v>
      </c>
      <c r="D6" t="s">
        <v>451</v>
      </c>
      <c r="E6" t="s">
        <v>455</v>
      </c>
      <c r="F6" t="s">
        <v>452</v>
      </c>
      <c r="G6" t="s">
        <v>3</v>
      </c>
      <c r="H6">
        <v>40</v>
      </c>
    </row>
    <row r="7" spans="1:8">
      <c r="A7" s="18" t="str">
        <f t="shared" si="0"/>
        <v>Set57_ES006_MdlMom_M_6moBF_PFOA_50</v>
      </c>
      <c r="B7" t="s">
        <v>475</v>
      </c>
      <c r="C7" t="s">
        <v>310</v>
      </c>
      <c r="D7" t="s">
        <v>451</v>
      </c>
      <c r="E7" t="s">
        <v>455</v>
      </c>
      <c r="F7" t="s">
        <v>452</v>
      </c>
      <c r="G7" t="s">
        <v>3</v>
      </c>
      <c r="H7">
        <v>50</v>
      </c>
    </row>
    <row r="8" spans="1:8">
      <c r="A8" s="18" t="str">
        <f t="shared" si="0"/>
        <v>Set57_ES007_MdlMom_M_6moBF_PFOA_60</v>
      </c>
      <c r="B8" t="s">
        <v>475</v>
      </c>
      <c r="C8" t="s">
        <v>311</v>
      </c>
      <c r="D8" t="s">
        <v>451</v>
      </c>
      <c r="E8" t="s">
        <v>455</v>
      </c>
      <c r="F8" t="s">
        <v>452</v>
      </c>
      <c r="G8" t="s">
        <v>3</v>
      </c>
      <c r="H8">
        <v>60</v>
      </c>
    </row>
    <row r="9" spans="1:8">
      <c r="A9" s="18" t="str">
        <f t="shared" si="0"/>
        <v>Set57_ES008_MdlMom_M_6moBF_PFOA_70</v>
      </c>
      <c r="B9" t="s">
        <v>475</v>
      </c>
      <c r="C9" t="s">
        <v>312</v>
      </c>
      <c r="D9" t="s">
        <v>451</v>
      </c>
      <c r="E9" t="s">
        <v>455</v>
      </c>
      <c r="F9" t="s">
        <v>452</v>
      </c>
      <c r="G9" t="s">
        <v>3</v>
      </c>
      <c r="H9">
        <v>70</v>
      </c>
    </row>
    <row r="10" spans="1:8">
      <c r="A10" s="18" t="str">
        <f t="shared" si="0"/>
        <v>Set57_ES009_MdlMom_M_6moBF_PFOA_80</v>
      </c>
      <c r="B10" t="s">
        <v>475</v>
      </c>
      <c r="C10" t="s">
        <v>313</v>
      </c>
      <c r="D10" t="s">
        <v>451</v>
      </c>
      <c r="E10" t="s">
        <v>455</v>
      </c>
      <c r="F10" t="s">
        <v>452</v>
      </c>
      <c r="G10" t="s">
        <v>3</v>
      </c>
      <c r="H10">
        <v>80</v>
      </c>
    </row>
    <row r="11" spans="1:8">
      <c r="A11" s="18" t="str">
        <f t="shared" si="0"/>
        <v>Set57_ES010_MdlMom_M_6moBF_PFOA_90</v>
      </c>
      <c r="B11" t="s">
        <v>475</v>
      </c>
      <c r="C11" t="s">
        <v>314</v>
      </c>
      <c r="D11" t="s">
        <v>451</v>
      </c>
      <c r="E11" t="s">
        <v>455</v>
      </c>
      <c r="F11" t="s">
        <v>452</v>
      </c>
      <c r="G11" t="s">
        <v>3</v>
      </c>
      <c r="H11">
        <v>90</v>
      </c>
    </row>
    <row r="12" spans="1:8">
      <c r="A12" s="18" t="str">
        <f t="shared" si="0"/>
        <v>Set57_ES011_MdlMom_M_6moBF_PFOS_4</v>
      </c>
      <c r="B12" t="s">
        <v>475</v>
      </c>
      <c r="C12" t="s">
        <v>315</v>
      </c>
      <c r="D12" t="s">
        <v>451</v>
      </c>
      <c r="E12" t="s">
        <v>455</v>
      </c>
      <c r="F12" t="s">
        <v>452</v>
      </c>
      <c r="G12" t="s">
        <v>4</v>
      </c>
      <c r="H12">
        <v>4</v>
      </c>
    </row>
    <row r="13" spans="1:8">
      <c r="A13" s="18" t="str">
        <f t="shared" si="0"/>
        <v>Set57_ES012_MdlMom_M_6moBF_PFOS_10</v>
      </c>
      <c r="B13" t="s">
        <v>475</v>
      </c>
      <c r="C13" t="s">
        <v>316</v>
      </c>
      <c r="D13" t="s">
        <v>451</v>
      </c>
      <c r="E13" t="s">
        <v>455</v>
      </c>
      <c r="F13" t="s">
        <v>452</v>
      </c>
      <c r="G13" t="s">
        <v>4</v>
      </c>
      <c r="H13">
        <v>10</v>
      </c>
    </row>
    <row r="14" spans="1:8">
      <c r="A14" s="18" t="str">
        <f t="shared" si="0"/>
        <v>Set57_ES013_MdlMom_M_6moBF_PFOS_20</v>
      </c>
      <c r="B14" t="s">
        <v>475</v>
      </c>
      <c r="C14" t="s">
        <v>317</v>
      </c>
      <c r="D14" t="s">
        <v>451</v>
      </c>
      <c r="E14" t="s">
        <v>455</v>
      </c>
      <c r="F14" t="s">
        <v>452</v>
      </c>
      <c r="G14" t="s">
        <v>4</v>
      </c>
      <c r="H14">
        <v>20</v>
      </c>
    </row>
    <row r="15" spans="1:8">
      <c r="A15" s="18" t="str">
        <f t="shared" si="0"/>
        <v>Set57_ES014_MdlMom_M_6moBF_PFOS_30</v>
      </c>
      <c r="B15" t="s">
        <v>475</v>
      </c>
      <c r="C15" t="s">
        <v>318</v>
      </c>
      <c r="D15" t="s">
        <v>451</v>
      </c>
      <c r="E15" t="s">
        <v>455</v>
      </c>
      <c r="F15" t="s">
        <v>452</v>
      </c>
      <c r="G15" t="s">
        <v>4</v>
      </c>
      <c r="H15">
        <v>30</v>
      </c>
    </row>
    <row r="16" spans="1:8">
      <c r="A16" s="18" t="str">
        <f t="shared" si="0"/>
        <v>Set57_ES015_MdlMom_M_6moBF_PFOS_40</v>
      </c>
      <c r="B16" t="s">
        <v>475</v>
      </c>
      <c r="C16" t="s">
        <v>319</v>
      </c>
      <c r="D16" t="s">
        <v>451</v>
      </c>
      <c r="E16" t="s">
        <v>455</v>
      </c>
      <c r="F16" t="s">
        <v>452</v>
      </c>
      <c r="G16" t="s">
        <v>4</v>
      </c>
      <c r="H16">
        <v>40</v>
      </c>
    </row>
    <row r="17" spans="1:8">
      <c r="A17" s="18" t="str">
        <f t="shared" si="0"/>
        <v>Set57_ES016_MdlMom_M_6moBF_PFOS_50</v>
      </c>
      <c r="B17" t="s">
        <v>475</v>
      </c>
      <c r="C17" t="s">
        <v>320</v>
      </c>
      <c r="D17" t="s">
        <v>451</v>
      </c>
      <c r="E17" t="s">
        <v>455</v>
      </c>
      <c r="F17" t="s">
        <v>452</v>
      </c>
      <c r="G17" t="s">
        <v>4</v>
      </c>
      <c r="H17">
        <v>50</v>
      </c>
    </row>
    <row r="18" spans="1:8">
      <c r="A18" s="18" t="str">
        <f t="shared" si="0"/>
        <v>Set57_ES017_MdlMom_M_6moBF_PFOS_60</v>
      </c>
      <c r="B18" t="s">
        <v>475</v>
      </c>
      <c r="C18" t="s">
        <v>321</v>
      </c>
      <c r="D18" t="s">
        <v>451</v>
      </c>
      <c r="E18" t="s">
        <v>455</v>
      </c>
      <c r="F18" t="s">
        <v>452</v>
      </c>
      <c r="G18" t="s">
        <v>4</v>
      </c>
      <c r="H18">
        <v>60</v>
      </c>
    </row>
    <row r="19" spans="1:8">
      <c r="A19" s="18" t="str">
        <f t="shared" si="0"/>
        <v>Set57_ES018_MdlMom_M_6moBF_PFOS_70</v>
      </c>
      <c r="B19" t="s">
        <v>475</v>
      </c>
      <c r="C19" t="s">
        <v>322</v>
      </c>
      <c r="D19" t="s">
        <v>451</v>
      </c>
      <c r="E19" t="s">
        <v>455</v>
      </c>
      <c r="F19" t="s">
        <v>452</v>
      </c>
      <c r="G19" t="s">
        <v>4</v>
      </c>
      <c r="H19">
        <v>70</v>
      </c>
    </row>
    <row r="20" spans="1:8">
      <c r="A20" s="18" t="str">
        <f t="shared" si="0"/>
        <v>Set57_ES019_MdlMom_M_6moBF_PFOS_80</v>
      </c>
      <c r="B20" t="s">
        <v>475</v>
      </c>
      <c r="C20" t="s">
        <v>323</v>
      </c>
      <c r="D20" t="s">
        <v>451</v>
      </c>
      <c r="E20" t="s">
        <v>455</v>
      </c>
      <c r="F20" t="s">
        <v>452</v>
      </c>
      <c r="G20" t="s">
        <v>4</v>
      </c>
      <c r="H20">
        <v>80</v>
      </c>
    </row>
    <row r="21" spans="1:8">
      <c r="A21" s="18" t="str">
        <f t="shared" si="0"/>
        <v>Set57_ES020_MdlMom_M_6moBF_PFOS_90</v>
      </c>
      <c r="B21" t="s">
        <v>475</v>
      </c>
      <c r="C21" t="s">
        <v>324</v>
      </c>
      <c r="D21" t="s">
        <v>451</v>
      </c>
      <c r="E21" t="s">
        <v>455</v>
      </c>
      <c r="F21" t="s">
        <v>452</v>
      </c>
      <c r="G21" t="s">
        <v>4</v>
      </c>
      <c r="H21">
        <v>90</v>
      </c>
    </row>
    <row r="22" spans="1:8">
      <c r="A22" s="18" t="str">
        <f t="shared" si="0"/>
        <v>Set57_ES021_MdlMom_M_6moBF_PFHxS_4</v>
      </c>
      <c r="B22" t="s">
        <v>475</v>
      </c>
      <c r="C22" t="s">
        <v>394</v>
      </c>
      <c r="D22" t="s">
        <v>451</v>
      </c>
      <c r="E22" t="s">
        <v>455</v>
      </c>
      <c r="F22" t="s">
        <v>452</v>
      </c>
      <c r="G22" t="s">
        <v>6</v>
      </c>
      <c r="H22">
        <v>4</v>
      </c>
    </row>
    <row r="23" spans="1:8">
      <c r="A23" s="18" t="str">
        <f t="shared" si="0"/>
        <v>Set57_ES022_MdlMom_M_6moBF_PFHxS_10</v>
      </c>
      <c r="B23" t="s">
        <v>475</v>
      </c>
      <c r="C23" t="s">
        <v>395</v>
      </c>
      <c r="D23" t="s">
        <v>451</v>
      </c>
      <c r="E23" t="s">
        <v>455</v>
      </c>
      <c r="F23" t="s">
        <v>452</v>
      </c>
      <c r="G23" t="s">
        <v>6</v>
      </c>
      <c r="H23">
        <v>10</v>
      </c>
    </row>
    <row r="24" spans="1:8">
      <c r="A24" s="18" t="str">
        <f t="shared" si="0"/>
        <v>Set57_ES023_MdlMom_M_6moBF_PFHxS_20</v>
      </c>
      <c r="B24" t="s">
        <v>475</v>
      </c>
      <c r="C24" t="s">
        <v>396</v>
      </c>
      <c r="D24" t="s">
        <v>451</v>
      </c>
      <c r="E24" t="s">
        <v>455</v>
      </c>
      <c r="F24" t="s">
        <v>452</v>
      </c>
      <c r="G24" t="s">
        <v>6</v>
      </c>
      <c r="H24">
        <v>20</v>
      </c>
    </row>
    <row r="25" spans="1:8">
      <c r="A25" s="18" t="str">
        <f t="shared" si="0"/>
        <v>Set57_ES024_MdlMom_M_6moBF_PFHxS_30</v>
      </c>
      <c r="B25" t="s">
        <v>475</v>
      </c>
      <c r="C25" t="s">
        <v>397</v>
      </c>
      <c r="D25" t="s">
        <v>451</v>
      </c>
      <c r="E25" t="s">
        <v>455</v>
      </c>
      <c r="F25" t="s">
        <v>452</v>
      </c>
      <c r="G25" t="s">
        <v>6</v>
      </c>
      <c r="H25">
        <v>30</v>
      </c>
    </row>
    <row r="26" spans="1:8">
      <c r="A26" s="18" t="str">
        <f t="shared" si="0"/>
        <v>Set57_ES025_MdlMom_M_6moBF_PFHxS_40</v>
      </c>
      <c r="B26" t="s">
        <v>475</v>
      </c>
      <c r="C26" t="s">
        <v>398</v>
      </c>
      <c r="D26" t="s">
        <v>451</v>
      </c>
      <c r="E26" t="s">
        <v>455</v>
      </c>
      <c r="F26" t="s">
        <v>452</v>
      </c>
      <c r="G26" t="s">
        <v>6</v>
      </c>
      <c r="H26">
        <v>40</v>
      </c>
    </row>
    <row r="27" spans="1:8">
      <c r="A27" s="18" t="str">
        <f t="shared" si="0"/>
        <v>Set57_ES026_MdlMom_M_6moBF_PFHxS_50</v>
      </c>
      <c r="B27" t="s">
        <v>475</v>
      </c>
      <c r="C27" t="s">
        <v>399</v>
      </c>
      <c r="D27" t="s">
        <v>451</v>
      </c>
      <c r="E27" t="s">
        <v>455</v>
      </c>
      <c r="F27" t="s">
        <v>452</v>
      </c>
      <c r="G27" t="s">
        <v>6</v>
      </c>
      <c r="H27">
        <v>50</v>
      </c>
    </row>
    <row r="28" spans="1:8">
      <c r="A28" s="18" t="str">
        <f t="shared" si="0"/>
        <v>Set57_ES027_MdlMom_M_6moBF_PFHxS_60</v>
      </c>
      <c r="B28" t="s">
        <v>475</v>
      </c>
      <c r="C28" t="s">
        <v>400</v>
      </c>
      <c r="D28" t="s">
        <v>451</v>
      </c>
      <c r="E28" t="s">
        <v>455</v>
      </c>
      <c r="F28" t="s">
        <v>452</v>
      </c>
      <c r="G28" t="s">
        <v>6</v>
      </c>
      <c r="H28">
        <v>60</v>
      </c>
    </row>
    <row r="29" spans="1:8">
      <c r="A29" s="18" t="str">
        <f t="shared" si="0"/>
        <v>Set57_ES028_MdlMom_M_6moBF_PFHxS_70</v>
      </c>
      <c r="B29" t="s">
        <v>475</v>
      </c>
      <c r="C29" t="s">
        <v>401</v>
      </c>
      <c r="D29" t="s">
        <v>451</v>
      </c>
      <c r="E29" t="s">
        <v>455</v>
      </c>
      <c r="F29" t="s">
        <v>452</v>
      </c>
      <c r="G29" t="s">
        <v>6</v>
      </c>
      <c r="H29">
        <v>70</v>
      </c>
    </row>
    <row r="30" spans="1:8">
      <c r="A30" s="18" t="str">
        <f t="shared" si="0"/>
        <v>Set57_ES029_MdlMom_M_6moBF_PFHxS_80</v>
      </c>
      <c r="B30" t="s">
        <v>475</v>
      </c>
      <c r="C30" t="s">
        <v>402</v>
      </c>
      <c r="D30" t="s">
        <v>451</v>
      </c>
      <c r="E30" t="s">
        <v>455</v>
      </c>
      <c r="F30" t="s">
        <v>452</v>
      </c>
      <c r="G30" t="s">
        <v>6</v>
      </c>
      <c r="H30">
        <v>80</v>
      </c>
    </row>
    <row r="31" spans="1:8">
      <c r="A31" s="18" t="str">
        <f t="shared" si="0"/>
        <v>Set57_ES030_MdlMom_M_6moBF_PFHxS_90</v>
      </c>
      <c r="B31" t="s">
        <v>475</v>
      </c>
      <c r="C31" t="s">
        <v>403</v>
      </c>
      <c r="D31" t="s">
        <v>451</v>
      </c>
      <c r="E31" t="s">
        <v>455</v>
      </c>
      <c r="F31" t="s">
        <v>452</v>
      </c>
      <c r="G31" t="s">
        <v>6</v>
      </c>
      <c r="H31">
        <v>90</v>
      </c>
    </row>
    <row r="32" spans="1:8">
      <c r="A32" s="18" t="str">
        <f t="shared" si="0"/>
        <v>Set57_ES031_MdlMom_M_6moBF_PFNA_4</v>
      </c>
      <c r="B32" t="s">
        <v>475</v>
      </c>
      <c r="C32" t="s">
        <v>404</v>
      </c>
      <c r="D32" t="s">
        <v>451</v>
      </c>
      <c r="E32" t="s">
        <v>455</v>
      </c>
      <c r="F32" t="s">
        <v>452</v>
      </c>
      <c r="G32" t="s">
        <v>5</v>
      </c>
      <c r="H32">
        <v>4</v>
      </c>
    </row>
    <row r="33" spans="1:8">
      <c r="A33" s="18" t="str">
        <f t="shared" si="0"/>
        <v>Set57_ES032_MdlMom_M_6moBF_PFNA_10</v>
      </c>
      <c r="B33" t="s">
        <v>475</v>
      </c>
      <c r="C33" t="s">
        <v>405</v>
      </c>
      <c r="D33" t="s">
        <v>451</v>
      </c>
      <c r="E33" t="s">
        <v>455</v>
      </c>
      <c r="F33" t="s">
        <v>452</v>
      </c>
      <c r="G33" t="s">
        <v>5</v>
      </c>
      <c r="H33">
        <v>10</v>
      </c>
    </row>
    <row r="34" spans="1:8">
      <c r="A34" s="18" t="str">
        <f t="shared" si="0"/>
        <v>Set57_ES033_MdlMom_M_6moBF_PFNA_20</v>
      </c>
      <c r="B34" t="s">
        <v>475</v>
      </c>
      <c r="C34" t="s">
        <v>406</v>
      </c>
      <c r="D34" t="s">
        <v>451</v>
      </c>
      <c r="E34" t="s">
        <v>455</v>
      </c>
      <c r="F34" t="s">
        <v>452</v>
      </c>
      <c r="G34" t="s">
        <v>5</v>
      </c>
      <c r="H34">
        <v>20</v>
      </c>
    </row>
    <row r="35" spans="1:8">
      <c r="A35" s="18" t="str">
        <f t="shared" si="0"/>
        <v>Set57_ES034_MdlMom_M_6moBF_PFNA_30</v>
      </c>
      <c r="B35" t="s">
        <v>475</v>
      </c>
      <c r="C35" t="s">
        <v>407</v>
      </c>
      <c r="D35" t="s">
        <v>451</v>
      </c>
      <c r="E35" t="s">
        <v>455</v>
      </c>
      <c r="F35" t="s">
        <v>452</v>
      </c>
      <c r="G35" t="s">
        <v>5</v>
      </c>
      <c r="H35">
        <v>30</v>
      </c>
    </row>
    <row r="36" spans="1:8">
      <c r="A36" s="18" t="str">
        <f t="shared" si="0"/>
        <v>Set57_ES035_MdlMom_M_6moBF_PFNA_40</v>
      </c>
      <c r="B36" t="s">
        <v>475</v>
      </c>
      <c r="C36" t="s">
        <v>408</v>
      </c>
      <c r="D36" t="s">
        <v>451</v>
      </c>
      <c r="E36" t="s">
        <v>455</v>
      </c>
      <c r="F36" t="s">
        <v>452</v>
      </c>
      <c r="G36" t="s">
        <v>5</v>
      </c>
      <c r="H36">
        <v>40</v>
      </c>
    </row>
    <row r="37" spans="1:8">
      <c r="A37" s="18" t="str">
        <f t="shared" si="0"/>
        <v>Set57_ES036_MdlMom_M_6moBF_PFNA_50</v>
      </c>
      <c r="B37" t="s">
        <v>475</v>
      </c>
      <c r="C37" t="s">
        <v>409</v>
      </c>
      <c r="D37" t="s">
        <v>451</v>
      </c>
      <c r="E37" t="s">
        <v>455</v>
      </c>
      <c r="F37" t="s">
        <v>452</v>
      </c>
      <c r="G37" t="s">
        <v>5</v>
      </c>
      <c r="H37">
        <v>50</v>
      </c>
    </row>
    <row r="38" spans="1:8">
      <c r="A38" s="18" t="str">
        <f t="shared" si="0"/>
        <v>Set57_ES037_MdlMom_M_6moBF_PFNA_60</v>
      </c>
      <c r="B38" t="s">
        <v>475</v>
      </c>
      <c r="C38" t="s">
        <v>415</v>
      </c>
      <c r="D38" t="s">
        <v>451</v>
      </c>
      <c r="E38" t="s">
        <v>455</v>
      </c>
      <c r="F38" t="s">
        <v>452</v>
      </c>
      <c r="G38" t="s">
        <v>5</v>
      </c>
      <c r="H38">
        <v>60</v>
      </c>
    </row>
    <row r="39" spans="1:8">
      <c r="A39" s="18" t="str">
        <f t="shared" si="0"/>
        <v>Set57_ES038_MdlMom_M_6moBF_PFNA_70</v>
      </c>
      <c r="B39" t="s">
        <v>475</v>
      </c>
      <c r="C39" t="s">
        <v>416</v>
      </c>
      <c r="D39" t="s">
        <v>451</v>
      </c>
      <c r="E39" t="s">
        <v>455</v>
      </c>
      <c r="F39" t="s">
        <v>452</v>
      </c>
      <c r="G39" t="s">
        <v>5</v>
      </c>
      <c r="H39">
        <v>70</v>
      </c>
    </row>
    <row r="40" spans="1:8">
      <c r="A40" s="18" t="str">
        <f t="shared" si="0"/>
        <v>Set57_ES039_MdlMom_M_6moBF_PFNA_80</v>
      </c>
      <c r="B40" t="s">
        <v>475</v>
      </c>
      <c r="C40" t="s">
        <v>417</v>
      </c>
      <c r="D40" t="s">
        <v>451</v>
      </c>
      <c r="E40" t="s">
        <v>455</v>
      </c>
      <c r="F40" t="s">
        <v>452</v>
      </c>
      <c r="G40" t="s">
        <v>5</v>
      </c>
      <c r="H40">
        <v>80</v>
      </c>
    </row>
    <row r="41" spans="1:8">
      <c r="A41" s="18" t="str">
        <f t="shared" si="0"/>
        <v>Set57_ES040_MdlMom_M_6moBF_PFNA_90</v>
      </c>
      <c r="B41" t="s">
        <v>475</v>
      </c>
      <c r="C41" t="s">
        <v>418</v>
      </c>
      <c r="D41" t="s">
        <v>451</v>
      </c>
      <c r="E41" t="s">
        <v>455</v>
      </c>
      <c r="F41" t="s">
        <v>452</v>
      </c>
      <c r="G41" t="s">
        <v>5</v>
      </c>
      <c r="H41">
        <v>90</v>
      </c>
    </row>
    <row r="42" spans="1:8">
      <c r="A42" s="18" t="str">
        <f t="shared" si="0"/>
        <v>Set57_ES041_MdlMom_M_6moBF_PFDA_4</v>
      </c>
      <c r="B42" t="s">
        <v>475</v>
      </c>
      <c r="C42" t="s">
        <v>419</v>
      </c>
      <c r="D42" t="s">
        <v>451</v>
      </c>
      <c r="E42" t="s">
        <v>455</v>
      </c>
      <c r="F42" t="s">
        <v>452</v>
      </c>
      <c r="G42" t="s">
        <v>36</v>
      </c>
      <c r="H42">
        <v>4</v>
      </c>
    </row>
    <row r="43" spans="1:8">
      <c r="A43" s="18" t="str">
        <f t="shared" si="0"/>
        <v>Set57_ES042_MdlMom_M_6moBF_PFDA_10</v>
      </c>
      <c r="B43" t="s">
        <v>475</v>
      </c>
      <c r="C43" t="s">
        <v>420</v>
      </c>
      <c r="D43" t="s">
        <v>451</v>
      </c>
      <c r="E43" t="s">
        <v>455</v>
      </c>
      <c r="F43" t="s">
        <v>452</v>
      </c>
      <c r="G43" t="s">
        <v>36</v>
      </c>
      <c r="H43">
        <v>10</v>
      </c>
    </row>
    <row r="44" spans="1:8">
      <c r="A44" s="18" t="str">
        <f t="shared" si="0"/>
        <v>Set57_ES043_MdlMom_M_6moBF_PFDA_20</v>
      </c>
      <c r="B44" t="s">
        <v>475</v>
      </c>
      <c r="C44" t="s">
        <v>421</v>
      </c>
      <c r="D44" t="s">
        <v>451</v>
      </c>
      <c r="E44" t="s">
        <v>455</v>
      </c>
      <c r="F44" t="s">
        <v>452</v>
      </c>
      <c r="G44" t="s">
        <v>36</v>
      </c>
      <c r="H44">
        <v>20</v>
      </c>
    </row>
    <row r="45" spans="1:8">
      <c r="A45" s="18" t="str">
        <f t="shared" si="0"/>
        <v>Set57_ES044_MdlMom_M_6moBF_PFDA_30</v>
      </c>
      <c r="B45" t="s">
        <v>475</v>
      </c>
      <c r="C45" t="s">
        <v>422</v>
      </c>
      <c r="D45" t="s">
        <v>451</v>
      </c>
      <c r="E45" t="s">
        <v>455</v>
      </c>
      <c r="F45" t="s">
        <v>452</v>
      </c>
      <c r="G45" t="s">
        <v>36</v>
      </c>
      <c r="H45">
        <v>30</v>
      </c>
    </row>
    <row r="46" spans="1:8">
      <c r="A46" s="18" t="str">
        <f t="shared" si="0"/>
        <v>Set57_ES045_MdlMom_M_6moBF_PFDA_40</v>
      </c>
      <c r="B46" t="s">
        <v>475</v>
      </c>
      <c r="C46" t="s">
        <v>423</v>
      </c>
      <c r="D46" t="s">
        <v>451</v>
      </c>
      <c r="E46" t="s">
        <v>455</v>
      </c>
      <c r="F46" t="s">
        <v>452</v>
      </c>
      <c r="G46" t="s">
        <v>36</v>
      </c>
      <c r="H46">
        <v>40</v>
      </c>
    </row>
    <row r="47" spans="1:8">
      <c r="A47" s="18" t="str">
        <f t="shared" si="0"/>
        <v>Set57_ES046_MdlMom_M_6moBF_PFDA_50</v>
      </c>
      <c r="B47" t="s">
        <v>475</v>
      </c>
      <c r="C47" t="s">
        <v>424</v>
      </c>
      <c r="D47" t="s">
        <v>451</v>
      </c>
      <c r="E47" t="s">
        <v>455</v>
      </c>
      <c r="F47" t="s">
        <v>452</v>
      </c>
      <c r="G47" t="s">
        <v>36</v>
      </c>
      <c r="H47">
        <v>50</v>
      </c>
    </row>
    <row r="48" spans="1:8">
      <c r="A48" s="18" t="str">
        <f t="shared" si="0"/>
        <v>Set57_ES047_MdlMom_M_6moBF_PFDA_60</v>
      </c>
      <c r="B48" t="s">
        <v>475</v>
      </c>
      <c r="C48" t="s">
        <v>425</v>
      </c>
      <c r="D48" t="s">
        <v>451</v>
      </c>
      <c r="E48" t="s">
        <v>455</v>
      </c>
      <c r="F48" t="s">
        <v>452</v>
      </c>
      <c r="G48" t="s">
        <v>36</v>
      </c>
      <c r="H48">
        <v>60</v>
      </c>
    </row>
    <row r="49" spans="1:8">
      <c r="A49" s="18" t="str">
        <f t="shared" si="0"/>
        <v>Set57_ES048_MdlMom_M_6moBF_PFDA_70</v>
      </c>
      <c r="B49" t="s">
        <v>475</v>
      </c>
      <c r="C49" t="s">
        <v>426</v>
      </c>
      <c r="D49" t="s">
        <v>451</v>
      </c>
      <c r="E49" t="s">
        <v>455</v>
      </c>
      <c r="F49" t="s">
        <v>452</v>
      </c>
      <c r="G49" t="s">
        <v>36</v>
      </c>
      <c r="H49">
        <v>70</v>
      </c>
    </row>
    <row r="50" spans="1:8">
      <c r="A50" s="18" t="str">
        <f t="shared" si="0"/>
        <v>Set57_ES049_MdlMom_M_6moBF_PFDA_80</v>
      </c>
      <c r="B50" t="s">
        <v>475</v>
      </c>
      <c r="C50" t="s">
        <v>427</v>
      </c>
      <c r="D50" t="s">
        <v>451</v>
      </c>
      <c r="E50" t="s">
        <v>455</v>
      </c>
      <c r="F50" t="s">
        <v>452</v>
      </c>
      <c r="G50" t="s">
        <v>36</v>
      </c>
      <c r="H50">
        <v>80</v>
      </c>
    </row>
    <row r="51" spans="1:8">
      <c r="A51" s="18" t="str">
        <f t="shared" si="0"/>
        <v>Set57_ES050_MdlMom_M_6moBF_PFDA_90</v>
      </c>
      <c r="B51" t="s">
        <v>475</v>
      </c>
      <c r="C51" t="s">
        <v>428</v>
      </c>
      <c r="D51" t="s">
        <v>451</v>
      </c>
      <c r="E51" t="s">
        <v>455</v>
      </c>
      <c r="F51" t="s">
        <v>452</v>
      </c>
      <c r="G51" t="s">
        <v>36</v>
      </c>
      <c r="H51">
        <v>90</v>
      </c>
    </row>
    <row r="52" spans="1:8">
      <c r="A52" s="18" t="str">
        <f t="shared" si="0"/>
        <v>Set57_ES051_MdlMom_M_6moBF_PFHpA_4</v>
      </c>
      <c r="B52" t="s">
        <v>475</v>
      </c>
      <c r="C52" t="s">
        <v>429</v>
      </c>
      <c r="D52" t="s">
        <v>451</v>
      </c>
      <c r="E52" t="s">
        <v>455</v>
      </c>
      <c r="F52" t="s">
        <v>452</v>
      </c>
      <c r="G52" t="s">
        <v>35</v>
      </c>
      <c r="H52">
        <v>4</v>
      </c>
    </row>
    <row r="53" spans="1:8">
      <c r="A53" s="18" t="str">
        <f t="shared" si="0"/>
        <v>Set57_ES052_MdlMom_M_6moBF_PFHpA_10</v>
      </c>
      <c r="B53" t="s">
        <v>475</v>
      </c>
      <c r="C53" t="s">
        <v>430</v>
      </c>
      <c r="D53" t="s">
        <v>451</v>
      </c>
      <c r="E53" t="s">
        <v>455</v>
      </c>
      <c r="F53" t="s">
        <v>452</v>
      </c>
      <c r="G53" t="s">
        <v>35</v>
      </c>
      <c r="H53">
        <v>10</v>
      </c>
    </row>
    <row r="54" spans="1:8">
      <c r="A54" s="18" t="str">
        <f t="shared" si="0"/>
        <v>Set57_ES053_MdlMom_M_6moBF_PFHpA_20</v>
      </c>
      <c r="B54" t="s">
        <v>475</v>
      </c>
      <c r="C54" t="s">
        <v>431</v>
      </c>
      <c r="D54" t="s">
        <v>451</v>
      </c>
      <c r="E54" t="s">
        <v>455</v>
      </c>
      <c r="F54" t="s">
        <v>452</v>
      </c>
      <c r="G54" t="s">
        <v>35</v>
      </c>
      <c r="H54">
        <v>20</v>
      </c>
    </row>
    <row r="55" spans="1:8">
      <c r="A55" s="18" t="str">
        <f t="shared" si="0"/>
        <v>Set57_ES054_MdlMom_M_6moBF_PFHpA_30</v>
      </c>
      <c r="B55" t="s">
        <v>475</v>
      </c>
      <c r="C55" t="s">
        <v>432</v>
      </c>
      <c r="D55" t="s">
        <v>451</v>
      </c>
      <c r="E55" t="s">
        <v>455</v>
      </c>
      <c r="F55" t="s">
        <v>452</v>
      </c>
      <c r="G55" t="s">
        <v>35</v>
      </c>
      <c r="H55">
        <v>30</v>
      </c>
    </row>
    <row r="56" spans="1:8">
      <c r="A56" s="18" t="str">
        <f t="shared" si="0"/>
        <v>Set57_ES055_MdlMom_M_6moBF_PFHpA_40</v>
      </c>
      <c r="B56" t="s">
        <v>475</v>
      </c>
      <c r="C56" t="s">
        <v>433</v>
      </c>
      <c r="D56" t="s">
        <v>451</v>
      </c>
      <c r="E56" t="s">
        <v>455</v>
      </c>
      <c r="F56" t="s">
        <v>452</v>
      </c>
      <c r="G56" t="s">
        <v>35</v>
      </c>
      <c r="H56">
        <v>40</v>
      </c>
    </row>
    <row r="57" spans="1:8">
      <c r="A57" s="18" t="str">
        <f t="shared" si="0"/>
        <v>Set57_ES056_MdlMom_M_6moBF_PFHpA_50</v>
      </c>
      <c r="B57" t="s">
        <v>475</v>
      </c>
      <c r="C57" t="s">
        <v>434</v>
      </c>
      <c r="D57" t="s">
        <v>451</v>
      </c>
      <c r="E57" t="s">
        <v>455</v>
      </c>
      <c r="F57" t="s">
        <v>452</v>
      </c>
      <c r="G57" t="s">
        <v>35</v>
      </c>
      <c r="H57">
        <v>50</v>
      </c>
    </row>
    <row r="58" spans="1:8">
      <c r="A58" s="18" t="str">
        <f t="shared" si="0"/>
        <v>Set57_ES057_MdlMom_M_6moBF_PFHpA_60</v>
      </c>
      <c r="B58" t="s">
        <v>475</v>
      </c>
      <c r="C58" t="s">
        <v>435</v>
      </c>
      <c r="D58" t="s">
        <v>451</v>
      </c>
      <c r="E58" t="s">
        <v>455</v>
      </c>
      <c r="F58" t="s">
        <v>452</v>
      </c>
      <c r="G58" t="s">
        <v>35</v>
      </c>
      <c r="H58">
        <v>60</v>
      </c>
    </row>
    <row r="59" spans="1:8">
      <c r="A59" s="18" t="str">
        <f t="shared" si="0"/>
        <v>Set57_ES058_MdlMom_M_6moBF_PFHpA_70</v>
      </c>
      <c r="B59" t="s">
        <v>475</v>
      </c>
      <c r="C59" t="s">
        <v>436</v>
      </c>
      <c r="D59" t="s">
        <v>451</v>
      </c>
      <c r="E59" t="s">
        <v>455</v>
      </c>
      <c r="F59" t="s">
        <v>452</v>
      </c>
      <c r="G59" t="s">
        <v>35</v>
      </c>
      <c r="H59">
        <v>70</v>
      </c>
    </row>
    <row r="60" spans="1:8">
      <c r="A60" s="18" t="str">
        <f t="shared" si="0"/>
        <v>Set57_ES059_MdlMom_M_6moBF_PFHpA_80</v>
      </c>
      <c r="B60" t="s">
        <v>475</v>
      </c>
      <c r="C60" t="s">
        <v>437</v>
      </c>
      <c r="D60" t="s">
        <v>451</v>
      </c>
      <c r="E60" t="s">
        <v>455</v>
      </c>
      <c r="F60" t="s">
        <v>452</v>
      </c>
      <c r="G60" t="s">
        <v>35</v>
      </c>
      <c r="H60">
        <v>80</v>
      </c>
    </row>
    <row r="61" spans="1:8">
      <c r="A61" s="18" t="str">
        <f>_xlfn.TEXTJOIN("_",TRUE,B61:H61)</f>
        <v>Set57_ES060_MdlMom_M_6moBF_PFHpA_90</v>
      </c>
      <c r="B61" t="s">
        <v>475</v>
      </c>
      <c r="C61" t="s">
        <v>438</v>
      </c>
      <c r="D61" t="s">
        <v>451</v>
      </c>
      <c r="E61" t="s">
        <v>455</v>
      </c>
      <c r="F61" t="s">
        <v>452</v>
      </c>
      <c r="G61" t="s">
        <v>35</v>
      </c>
      <c r="H61">
        <v>90</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6B31-C796-4199-85BC-4BA2D1C6E23D}">
  <dimension ref="A1:J241"/>
  <sheetViews>
    <sheetView workbookViewId="0">
      <selection activeCell="A3" sqref="A3"/>
    </sheetView>
  </sheetViews>
  <sheetFormatPr defaultRowHeight="14.5"/>
  <cols>
    <col min="1" max="1" width="56.7265625" bestFit="1" customWidth="1"/>
    <col min="2" max="2" width="12.26953125" customWidth="1"/>
    <col min="4" max="4" width="32.08984375" customWidth="1"/>
    <col min="5" max="5" width="8.81640625" customWidth="1"/>
    <col min="6" max="6" width="8.54296875" customWidth="1"/>
  </cols>
  <sheetData>
    <row r="1" spans="1:10">
      <c r="A1" t="s">
        <v>325</v>
      </c>
      <c r="B1" t="s">
        <v>332</v>
      </c>
      <c r="C1" t="s">
        <v>333</v>
      </c>
      <c r="D1" t="s">
        <v>334</v>
      </c>
      <c r="E1" t="s">
        <v>299</v>
      </c>
      <c r="F1" t="s">
        <v>300</v>
      </c>
      <c r="G1" t="s">
        <v>335</v>
      </c>
      <c r="H1" t="s">
        <v>441</v>
      </c>
      <c r="I1" t="s">
        <v>2</v>
      </c>
      <c r="J1" t="s">
        <v>304</v>
      </c>
    </row>
    <row r="2" spans="1:10">
      <c r="B2" s="13"/>
      <c r="D2" s="10"/>
    </row>
    <row r="3" spans="1:10">
      <c r="B3" s="13"/>
      <c r="D3" s="10"/>
    </row>
    <row r="4" spans="1:10">
      <c r="B4" s="13"/>
      <c r="D4" s="10"/>
    </row>
    <row r="5" spans="1:10">
      <c r="B5" s="13"/>
      <c r="D5" s="10"/>
    </row>
    <row r="6" spans="1:10">
      <c r="B6" s="13"/>
      <c r="D6" s="10"/>
    </row>
    <row r="7" spans="1:10">
      <c r="B7" s="13"/>
      <c r="D7" s="10"/>
    </row>
    <row r="8" spans="1:10">
      <c r="B8" s="13"/>
      <c r="D8" s="10"/>
    </row>
    <row r="9" spans="1:10">
      <c r="B9" s="13"/>
      <c r="D9" s="10"/>
    </row>
    <row r="10" spans="1:10">
      <c r="B10" s="13"/>
      <c r="D10" s="10"/>
    </row>
    <row r="11" spans="1:10">
      <c r="B11" s="13"/>
      <c r="D11" s="10"/>
    </row>
    <row r="12" spans="1:10">
      <c r="B12" s="13"/>
      <c r="D12" s="10"/>
    </row>
    <row r="13" spans="1:10">
      <c r="B13" s="13"/>
      <c r="D13" s="10"/>
    </row>
    <row r="14" spans="1:10">
      <c r="B14" s="13"/>
      <c r="D14" s="10"/>
    </row>
    <row r="15" spans="1:10">
      <c r="B15" s="13"/>
      <c r="D15" s="10"/>
    </row>
    <row r="16" spans="1:10">
      <c r="B16" s="13"/>
      <c r="D16" s="10"/>
    </row>
    <row r="17" spans="2:4">
      <c r="B17" s="13"/>
      <c r="D17" s="10"/>
    </row>
    <row r="18" spans="2:4">
      <c r="B18" s="13"/>
      <c r="D18" s="10"/>
    </row>
    <row r="19" spans="2:4">
      <c r="B19" s="13"/>
      <c r="D19" s="10"/>
    </row>
    <row r="20" spans="2:4">
      <c r="B20" s="13"/>
      <c r="D20" s="10"/>
    </row>
    <row r="21" spans="2:4">
      <c r="B21" s="13"/>
      <c r="D21" s="10"/>
    </row>
    <row r="22" spans="2:4">
      <c r="B22" s="13"/>
      <c r="D22" s="10"/>
    </row>
    <row r="23" spans="2:4">
      <c r="B23" s="13"/>
      <c r="D23" s="10"/>
    </row>
    <row r="24" spans="2:4">
      <c r="B24" s="13"/>
      <c r="D24" s="10"/>
    </row>
    <row r="25" spans="2:4">
      <c r="B25" s="13"/>
      <c r="D25" s="10"/>
    </row>
    <row r="26" spans="2:4">
      <c r="B26" s="13"/>
      <c r="D26" s="10"/>
    </row>
    <row r="27" spans="2:4">
      <c r="B27" s="13"/>
      <c r="D27" s="10"/>
    </row>
    <row r="28" spans="2:4">
      <c r="B28" s="13"/>
      <c r="D28" s="10"/>
    </row>
    <row r="29" spans="2:4">
      <c r="B29" s="13"/>
      <c r="D29" s="10"/>
    </row>
    <row r="30" spans="2:4">
      <c r="B30" s="13"/>
      <c r="D30" s="10"/>
    </row>
    <row r="31" spans="2:4">
      <c r="B31" s="13"/>
      <c r="D31" s="10"/>
    </row>
    <row r="32" spans="2:4">
      <c r="B32" s="13"/>
      <c r="D32" s="10"/>
    </row>
    <row r="33" spans="2:4">
      <c r="B33" s="13"/>
      <c r="D33" s="10"/>
    </row>
    <row r="34" spans="2:4">
      <c r="B34" s="13"/>
      <c r="D34" s="10"/>
    </row>
    <row r="35" spans="2:4">
      <c r="B35" s="13"/>
      <c r="D35" s="10"/>
    </row>
    <row r="36" spans="2:4">
      <c r="B36" s="13"/>
      <c r="D36" s="10"/>
    </row>
    <row r="37" spans="2:4">
      <c r="B37" s="13"/>
      <c r="D37" s="10"/>
    </row>
    <row r="38" spans="2:4">
      <c r="B38" s="13"/>
      <c r="D38" s="10"/>
    </row>
    <row r="39" spans="2:4">
      <c r="B39" s="13"/>
      <c r="D39" s="10"/>
    </row>
    <row r="40" spans="2:4">
      <c r="B40" s="13"/>
      <c r="D40" s="10"/>
    </row>
    <row r="41" spans="2:4">
      <c r="B41" s="13"/>
      <c r="D41" s="10"/>
    </row>
    <row r="42" spans="2:4">
      <c r="B42" s="13"/>
      <c r="D42" s="10"/>
    </row>
    <row r="43" spans="2:4">
      <c r="B43" s="13"/>
      <c r="D43" s="10"/>
    </row>
    <row r="44" spans="2:4">
      <c r="B44" s="13"/>
      <c r="D44" s="10"/>
    </row>
    <row r="45" spans="2:4">
      <c r="B45" s="13"/>
      <c r="D45" s="10"/>
    </row>
    <row r="46" spans="2:4">
      <c r="B46" s="13"/>
      <c r="D46" s="10"/>
    </row>
    <row r="47" spans="2:4">
      <c r="B47" s="13"/>
      <c r="D47" s="10"/>
    </row>
    <row r="48" spans="2:4">
      <c r="B48" s="13"/>
      <c r="D48" s="10"/>
    </row>
    <row r="49" spans="2:4">
      <c r="B49" s="13"/>
      <c r="D49" s="10"/>
    </row>
    <row r="50" spans="2:4">
      <c r="B50" s="13"/>
      <c r="D50" s="10"/>
    </row>
    <row r="51" spans="2:4">
      <c r="B51" s="13"/>
      <c r="D51" s="10"/>
    </row>
    <row r="52" spans="2:4">
      <c r="B52" s="13"/>
      <c r="D52" s="10"/>
    </row>
    <row r="53" spans="2:4">
      <c r="B53" s="13"/>
      <c r="D53" s="10"/>
    </row>
    <row r="54" spans="2:4">
      <c r="B54" s="13"/>
      <c r="D54" s="10"/>
    </row>
    <row r="55" spans="2:4">
      <c r="B55" s="13"/>
      <c r="D55" s="10"/>
    </row>
    <row r="56" spans="2:4">
      <c r="B56" s="13"/>
      <c r="D56" s="10"/>
    </row>
    <row r="57" spans="2:4">
      <c r="B57" s="13"/>
      <c r="D57" s="10"/>
    </row>
    <row r="58" spans="2:4">
      <c r="B58" s="13"/>
      <c r="D58" s="10"/>
    </row>
    <row r="59" spans="2:4">
      <c r="B59" s="13"/>
      <c r="D59" s="10"/>
    </row>
    <row r="60" spans="2:4">
      <c r="B60" s="13"/>
      <c r="D60" s="10"/>
    </row>
    <row r="61" spans="2:4">
      <c r="B61" s="13"/>
      <c r="D61" s="10"/>
    </row>
    <row r="62" spans="2:4">
      <c r="B62" s="13"/>
      <c r="D62" s="10"/>
    </row>
    <row r="63" spans="2:4">
      <c r="B63" s="13"/>
      <c r="D63" s="10"/>
    </row>
    <row r="64" spans="2:4">
      <c r="B64" s="13"/>
      <c r="D64" s="10"/>
    </row>
    <row r="65" spans="2:4">
      <c r="B65" s="13"/>
      <c r="D65" s="10"/>
    </row>
    <row r="66" spans="2:4">
      <c r="B66" s="13"/>
      <c r="D66" s="10"/>
    </row>
    <row r="67" spans="2:4">
      <c r="B67" s="13"/>
      <c r="D67" s="10"/>
    </row>
    <row r="68" spans="2:4">
      <c r="B68" s="13"/>
      <c r="D68" s="10"/>
    </row>
    <row r="69" spans="2:4">
      <c r="B69" s="13"/>
      <c r="D69" s="10"/>
    </row>
    <row r="70" spans="2:4">
      <c r="B70" s="13"/>
      <c r="D70" s="10"/>
    </row>
    <row r="71" spans="2:4">
      <c r="B71" s="13"/>
      <c r="D71" s="10"/>
    </row>
    <row r="72" spans="2:4">
      <c r="B72" s="13"/>
      <c r="D72" s="10"/>
    </row>
    <row r="73" spans="2:4">
      <c r="B73" s="13"/>
      <c r="D73" s="10"/>
    </row>
    <row r="74" spans="2:4">
      <c r="B74" s="13"/>
      <c r="D74" s="10"/>
    </row>
    <row r="75" spans="2:4">
      <c r="B75" s="13"/>
      <c r="D75" s="10"/>
    </row>
    <row r="76" spans="2:4">
      <c r="B76" s="13"/>
      <c r="D76" s="10"/>
    </row>
    <row r="77" spans="2:4">
      <c r="B77" s="13"/>
      <c r="D77" s="10"/>
    </row>
    <row r="78" spans="2:4">
      <c r="B78" s="13"/>
      <c r="D78" s="10"/>
    </row>
    <row r="79" spans="2:4">
      <c r="B79" s="13"/>
      <c r="D79" s="10"/>
    </row>
    <row r="80" spans="2:4">
      <c r="B80" s="13"/>
      <c r="D80" s="10"/>
    </row>
    <row r="81" spans="2:4">
      <c r="B81" s="13"/>
      <c r="D81" s="10"/>
    </row>
    <row r="82" spans="2:4">
      <c r="B82" s="13"/>
      <c r="D82" s="10"/>
    </row>
    <row r="83" spans="2:4">
      <c r="B83" s="13"/>
      <c r="D83" s="10"/>
    </row>
    <row r="84" spans="2:4">
      <c r="B84" s="13"/>
      <c r="D84" s="10"/>
    </row>
    <row r="85" spans="2:4">
      <c r="B85" s="13"/>
      <c r="D85" s="10"/>
    </row>
    <row r="86" spans="2:4">
      <c r="B86" s="13"/>
      <c r="D86" s="10"/>
    </row>
    <row r="87" spans="2:4">
      <c r="B87" s="13"/>
      <c r="D87" s="10"/>
    </row>
    <row r="88" spans="2:4">
      <c r="B88" s="13"/>
      <c r="D88" s="10"/>
    </row>
    <row r="89" spans="2:4">
      <c r="B89" s="13"/>
      <c r="D89" s="10"/>
    </row>
    <row r="90" spans="2:4">
      <c r="B90" s="13"/>
      <c r="D90" s="10"/>
    </row>
    <row r="91" spans="2:4">
      <c r="B91" s="13"/>
      <c r="D91" s="10"/>
    </row>
    <row r="92" spans="2:4">
      <c r="B92" s="13"/>
      <c r="D92" s="10"/>
    </row>
    <row r="93" spans="2:4">
      <c r="B93" s="13"/>
      <c r="D93" s="10"/>
    </row>
    <row r="94" spans="2:4">
      <c r="B94" s="13"/>
      <c r="D94" s="10"/>
    </row>
    <row r="95" spans="2:4">
      <c r="B95" s="13"/>
      <c r="D95" s="10"/>
    </row>
    <row r="96" spans="2:4">
      <c r="B96" s="13"/>
      <c r="D96" s="10"/>
    </row>
    <row r="97" spans="2:4">
      <c r="B97" s="13"/>
      <c r="D97" s="10"/>
    </row>
    <row r="98" spans="2:4">
      <c r="B98" s="13"/>
      <c r="D98" s="10"/>
    </row>
    <row r="99" spans="2:4">
      <c r="B99" s="13"/>
      <c r="D99" s="10"/>
    </row>
    <row r="100" spans="2:4">
      <c r="B100" s="13"/>
      <c r="D100" s="10"/>
    </row>
    <row r="101" spans="2:4">
      <c r="B101" s="13"/>
      <c r="D101" s="10"/>
    </row>
    <row r="102" spans="2:4">
      <c r="B102" s="13"/>
      <c r="D102" s="10"/>
    </row>
    <row r="103" spans="2:4">
      <c r="B103" s="13"/>
      <c r="D103" s="10"/>
    </row>
    <row r="104" spans="2:4">
      <c r="B104" s="13"/>
      <c r="D104" s="10"/>
    </row>
    <row r="105" spans="2:4">
      <c r="B105" s="13"/>
      <c r="D105" s="10"/>
    </row>
    <row r="106" spans="2:4">
      <c r="B106" s="13"/>
      <c r="D106" s="10"/>
    </row>
    <row r="107" spans="2:4">
      <c r="B107" s="13"/>
      <c r="D107" s="10"/>
    </row>
    <row r="108" spans="2:4">
      <c r="B108" s="13"/>
      <c r="D108" s="10"/>
    </row>
    <row r="109" spans="2:4">
      <c r="B109" s="13"/>
      <c r="D109" s="10"/>
    </row>
    <row r="110" spans="2:4">
      <c r="B110" s="13"/>
      <c r="D110" s="10"/>
    </row>
    <row r="111" spans="2:4">
      <c r="B111" s="13"/>
      <c r="D111" s="10"/>
    </row>
    <row r="112" spans="2:4">
      <c r="B112" s="13"/>
      <c r="D112" s="10"/>
    </row>
    <row r="113" spans="2:4">
      <c r="B113" s="13"/>
      <c r="D113" s="10"/>
    </row>
    <row r="114" spans="2:4">
      <c r="B114" s="13"/>
      <c r="D114" s="10"/>
    </row>
    <row r="115" spans="2:4">
      <c r="B115" s="13"/>
      <c r="D115" s="10"/>
    </row>
    <row r="116" spans="2:4">
      <c r="B116" s="13"/>
      <c r="D116" s="10"/>
    </row>
    <row r="117" spans="2:4">
      <c r="B117" s="13"/>
      <c r="D117" s="10"/>
    </row>
    <row r="118" spans="2:4">
      <c r="B118" s="13"/>
      <c r="D118" s="10"/>
    </row>
    <row r="119" spans="2:4">
      <c r="B119" s="13"/>
      <c r="D119" s="10"/>
    </row>
    <row r="120" spans="2:4">
      <c r="B120" s="13"/>
      <c r="D120" s="10"/>
    </row>
    <row r="121" spans="2:4">
      <c r="B121" s="13"/>
      <c r="D121" s="10"/>
    </row>
    <row r="122" spans="2:4">
      <c r="B122" s="13"/>
      <c r="D122" s="10"/>
    </row>
    <row r="123" spans="2:4">
      <c r="B123" s="13"/>
      <c r="D123" s="10"/>
    </row>
    <row r="124" spans="2:4">
      <c r="B124" s="13"/>
      <c r="D124" s="10"/>
    </row>
    <row r="125" spans="2:4">
      <c r="B125" s="13"/>
      <c r="D125" s="10"/>
    </row>
    <row r="126" spans="2:4">
      <c r="B126" s="13"/>
      <c r="D126" s="10"/>
    </row>
    <row r="127" spans="2:4">
      <c r="B127" s="13"/>
      <c r="D127" s="10"/>
    </row>
    <row r="128" spans="2:4">
      <c r="B128" s="13"/>
      <c r="D128" s="10"/>
    </row>
    <row r="129" spans="2:4">
      <c r="B129" s="13"/>
      <c r="D129" s="10"/>
    </row>
    <row r="130" spans="2:4">
      <c r="B130" s="13"/>
      <c r="D130" s="10"/>
    </row>
    <row r="131" spans="2:4">
      <c r="B131" s="13"/>
      <c r="D131" s="10"/>
    </row>
    <row r="132" spans="2:4">
      <c r="B132" s="13"/>
      <c r="D132" s="10"/>
    </row>
    <row r="133" spans="2:4">
      <c r="B133" s="13"/>
      <c r="D133" s="10"/>
    </row>
    <row r="134" spans="2:4">
      <c r="B134" s="13"/>
      <c r="D134" s="10"/>
    </row>
    <row r="135" spans="2:4">
      <c r="B135" s="13"/>
      <c r="D135" s="10"/>
    </row>
    <row r="136" spans="2:4">
      <c r="B136" s="13"/>
      <c r="D136" s="10"/>
    </row>
    <row r="137" spans="2:4">
      <c r="B137" s="13"/>
      <c r="D137" s="10"/>
    </row>
    <row r="138" spans="2:4">
      <c r="B138" s="13"/>
      <c r="D138" s="10"/>
    </row>
    <row r="139" spans="2:4">
      <c r="B139" s="13"/>
      <c r="D139" s="10"/>
    </row>
    <row r="140" spans="2:4">
      <c r="B140" s="13"/>
      <c r="D140" s="10"/>
    </row>
    <row r="141" spans="2:4">
      <c r="B141" s="13"/>
      <c r="D141" s="10"/>
    </row>
    <row r="142" spans="2:4">
      <c r="B142" s="13"/>
      <c r="D142" s="10"/>
    </row>
    <row r="143" spans="2:4">
      <c r="B143" s="13"/>
      <c r="D143" s="10"/>
    </row>
    <row r="144" spans="2:4">
      <c r="B144" s="13"/>
      <c r="D144" s="10"/>
    </row>
    <row r="145" spans="2:4">
      <c r="B145" s="13"/>
      <c r="D145" s="10"/>
    </row>
    <row r="146" spans="2:4">
      <c r="B146" s="13"/>
      <c r="D146" s="10"/>
    </row>
    <row r="147" spans="2:4">
      <c r="B147" s="13"/>
      <c r="D147" s="10"/>
    </row>
    <row r="148" spans="2:4">
      <c r="B148" s="13"/>
      <c r="D148" s="10"/>
    </row>
    <row r="149" spans="2:4">
      <c r="B149" s="13"/>
      <c r="D149" s="10"/>
    </row>
    <row r="150" spans="2:4">
      <c r="B150" s="13"/>
      <c r="D150" s="10"/>
    </row>
    <row r="151" spans="2:4">
      <c r="B151" s="13"/>
      <c r="D151" s="10"/>
    </row>
    <row r="152" spans="2:4">
      <c r="B152" s="13"/>
      <c r="D152" s="10"/>
    </row>
    <row r="153" spans="2:4">
      <c r="B153" s="13"/>
      <c r="D153" s="10"/>
    </row>
    <row r="154" spans="2:4">
      <c r="B154" s="13"/>
      <c r="D154" s="10"/>
    </row>
    <row r="155" spans="2:4">
      <c r="B155" s="13"/>
      <c r="D155" s="10"/>
    </row>
    <row r="156" spans="2:4">
      <c r="B156" s="13"/>
      <c r="D156" s="10"/>
    </row>
    <row r="157" spans="2:4">
      <c r="B157" s="13"/>
      <c r="D157" s="10"/>
    </row>
    <row r="158" spans="2:4">
      <c r="B158" s="13"/>
      <c r="D158" s="10"/>
    </row>
    <row r="159" spans="2:4">
      <c r="B159" s="13"/>
      <c r="D159" s="10"/>
    </row>
    <row r="160" spans="2:4">
      <c r="B160" s="13"/>
      <c r="D160" s="10"/>
    </row>
    <row r="161" spans="2:4">
      <c r="B161" s="13"/>
      <c r="D161" s="10"/>
    </row>
    <row r="162" spans="2:4">
      <c r="B162" s="13"/>
      <c r="D162" s="10"/>
    </row>
    <row r="163" spans="2:4">
      <c r="B163" s="13"/>
      <c r="D163" s="10"/>
    </row>
    <row r="164" spans="2:4">
      <c r="B164" s="13"/>
      <c r="D164" s="10"/>
    </row>
    <row r="165" spans="2:4">
      <c r="B165" s="13"/>
      <c r="D165" s="10"/>
    </row>
    <row r="166" spans="2:4">
      <c r="B166" s="13"/>
      <c r="D166" s="10"/>
    </row>
    <row r="167" spans="2:4">
      <c r="B167" s="13"/>
      <c r="D167" s="10"/>
    </row>
    <row r="168" spans="2:4">
      <c r="B168" s="13"/>
      <c r="D168" s="10"/>
    </row>
    <row r="169" spans="2:4">
      <c r="B169" s="13"/>
      <c r="D169" s="10"/>
    </row>
    <row r="170" spans="2:4">
      <c r="B170" s="13"/>
      <c r="D170" s="10"/>
    </row>
    <row r="171" spans="2:4">
      <c r="B171" s="13"/>
      <c r="D171" s="10"/>
    </row>
    <row r="172" spans="2:4">
      <c r="B172" s="13"/>
      <c r="D172" s="10"/>
    </row>
    <row r="173" spans="2:4">
      <c r="B173" s="13"/>
      <c r="D173" s="10"/>
    </row>
    <row r="174" spans="2:4">
      <c r="B174" s="13"/>
      <c r="D174" s="10"/>
    </row>
    <row r="175" spans="2:4">
      <c r="B175" s="13"/>
      <c r="D175" s="10"/>
    </row>
    <row r="176" spans="2:4">
      <c r="B176" s="13"/>
      <c r="D176" s="10"/>
    </row>
    <row r="177" spans="2:4">
      <c r="B177" s="13"/>
      <c r="D177" s="10"/>
    </row>
    <row r="178" spans="2:4">
      <c r="B178" s="13"/>
      <c r="D178" s="10"/>
    </row>
    <row r="179" spans="2:4">
      <c r="B179" s="13"/>
      <c r="D179" s="10"/>
    </row>
    <row r="180" spans="2:4">
      <c r="B180" s="13"/>
      <c r="D180" s="10"/>
    </row>
    <row r="181" spans="2:4">
      <c r="B181" s="13"/>
      <c r="D181" s="10"/>
    </row>
    <row r="182" spans="2:4">
      <c r="B182" s="13"/>
      <c r="D182" s="10"/>
    </row>
    <row r="183" spans="2:4">
      <c r="B183" s="13"/>
      <c r="D183" s="10"/>
    </row>
    <row r="184" spans="2:4">
      <c r="B184" s="13"/>
      <c r="D184" s="10"/>
    </row>
    <row r="185" spans="2:4">
      <c r="B185" s="13"/>
      <c r="D185" s="10"/>
    </row>
    <row r="186" spans="2:4">
      <c r="B186" s="13"/>
      <c r="D186" s="10"/>
    </row>
    <row r="187" spans="2:4">
      <c r="B187" s="13"/>
      <c r="D187" s="10"/>
    </row>
    <row r="188" spans="2:4">
      <c r="B188" s="13"/>
      <c r="D188" s="10"/>
    </row>
    <row r="189" spans="2:4">
      <c r="B189" s="13"/>
      <c r="D189" s="10"/>
    </row>
    <row r="190" spans="2:4">
      <c r="B190" s="13"/>
      <c r="D190" s="10"/>
    </row>
    <row r="191" spans="2:4">
      <c r="B191" s="13"/>
      <c r="D191" s="10"/>
    </row>
    <row r="192" spans="2:4">
      <c r="B192" s="13"/>
      <c r="D192" s="10"/>
    </row>
    <row r="193" spans="2:4">
      <c r="B193" s="13"/>
      <c r="D193" s="10"/>
    </row>
    <row r="194" spans="2:4">
      <c r="B194" s="13"/>
      <c r="D194" s="10"/>
    </row>
    <row r="195" spans="2:4">
      <c r="B195" s="13"/>
      <c r="D195" s="10"/>
    </row>
    <row r="196" spans="2:4">
      <c r="B196" s="13"/>
      <c r="D196" s="10"/>
    </row>
    <row r="197" spans="2:4">
      <c r="B197" s="13"/>
      <c r="D197" s="10"/>
    </row>
    <row r="198" spans="2:4">
      <c r="B198" s="13"/>
      <c r="D198" s="10"/>
    </row>
    <row r="199" spans="2:4">
      <c r="B199" s="13"/>
      <c r="D199" s="10"/>
    </row>
    <row r="200" spans="2:4">
      <c r="B200" s="13"/>
      <c r="D200" s="10"/>
    </row>
    <row r="201" spans="2:4">
      <c r="B201" s="13"/>
      <c r="D201" s="10"/>
    </row>
    <row r="202" spans="2:4">
      <c r="B202" s="13"/>
      <c r="D202" s="10"/>
    </row>
    <row r="203" spans="2:4">
      <c r="B203" s="13"/>
      <c r="D203" s="10"/>
    </row>
    <row r="204" spans="2:4">
      <c r="B204" s="13"/>
      <c r="D204" s="10"/>
    </row>
    <row r="205" spans="2:4">
      <c r="B205" s="13"/>
      <c r="D205" s="10"/>
    </row>
    <row r="206" spans="2:4">
      <c r="B206" s="13"/>
      <c r="D206" s="10"/>
    </row>
    <row r="207" spans="2:4">
      <c r="B207" s="13"/>
      <c r="D207" s="10"/>
    </row>
    <row r="208" spans="2:4">
      <c r="B208" s="13"/>
      <c r="D208" s="10"/>
    </row>
    <row r="209" spans="2:4">
      <c r="B209" s="13"/>
      <c r="D209" s="10"/>
    </row>
    <row r="210" spans="2:4">
      <c r="B210" s="13"/>
      <c r="D210" s="10"/>
    </row>
    <row r="211" spans="2:4">
      <c r="B211" s="13"/>
      <c r="D211" s="10"/>
    </row>
    <row r="212" spans="2:4">
      <c r="B212" s="13"/>
      <c r="D212" s="10"/>
    </row>
    <row r="213" spans="2:4">
      <c r="B213" s="13"/>
      <c r="D213" s="10"/>
    </row>
    <row r="214" spans="2:4">
      <c r="B214" s="13"/>
      <c r="D214" s="10"/>
    </row>
    <row r="215" spans="2:4">
      <c r="B215" s="13"/>
      <c r="D215" s="10"/>
    </row>
    <row r="216" spans="2:4">
      <c r="B216" s="13"/>
      <c r="D216" s="10"/>
    </row>
    <row r="217" spans="2:4">
      <c r="B217" s="13"/>
      <c r="D217" s="10"/>
    </row>
    <row r="218" spans="2:4">
      <c r="B218" s="13"/>
      <c r="D218" s="10"/>
    </row>
    <row r="219" spans="2:4">
      <c r="B219" s="13"/>
      <c r="D219" s="10"/>
    </row>
    <row r="220" spans="2:4">
      <c r="B220" s="13"/>
      <c r="D220" s="10"/>
    </row>
    <row r="221" spans="2:4">
      <c r="B221" s="13"/>
      <c r="D221" s="10"/>
    </row>
    <row r="222" spans="2:4">
      <c r="B222" s="13"/>
      <c r="D222" s="10"/>
    </row>
    <row r="223" spans="2:4">
      <c r="B223" s="13"/>
      <c r="D223" s="10"/>
    </row>
    <row r="224" spans="2:4">
      <c r="B224" s="13"/>
      <c r="D224" s="10"/>
    </row>
    <row r="225" spans="2:4">
      <c r="B225" s="13"/>
      <c r="D225" s="10"/>
    </row>
    <row r="226" spans="2:4">
      <c r="B226" s="13"/>
      <c r="D226" s="10"/>
    </row>
    <row r="227" spans="2:4">
      <c r="B227" s="13"/>
      <c r="D227" s="10"/>
    </row>
    <row r="228" spans="2:4">
      <c r="B228" s="13"/>
      <c r="D228" s="10"/>
    </row>
    <row r="229" spans="2:4">
      <c r="B229" s="13"/>
      <c r="D229" s="10"/>
    </row>
    <row r="230" spans="2:4">
      <c r="B230" s="13"/>
      <c r="D230" s="10"/>
    </row>
    <row r="231" spans="2:4">
      <c r="B231" s="13"/>
      <c r="D231" s="10"/>
    </row>
    <row r="232" spans="2:4">
      <c r="B232" s="13"/>
      <c r="D232" s="10"/>
    </row>
    <row r="233" spans="2:4">
      <c r="B233" s="13"/>
      <c r="D233" s="10"/>
    </row>
    <row r="234" spans="2:4">
      <c r="B234" s="13"/>
      <c r="D234" s="10"/>
    </row>
    <row r="235" spans="2:4">
      <c r="B235" s="13"/>
      <c r="D235" s="10"/>
    </row>
    <row r="236" spans="2:4">
      <c r="B236" s="13"/>
      <c r="D236" s="10"/>
    </row>
    <row r="237" spans="2:4">
      <c r="B237" s="13"/>
      <c r="D237" s="10"/>
    </row>
    <row r="238" spans="2:4">
      <c r="B238" s="13"/>
      <c r="D238" s="10"/>
    </row>
    <row r="239" spans="2:4">
      <c r="B239" s="13"/>
      <c r="D239" s="10"/>
    </row>
    <row r="240" spans="2:4">
      <c r="B240" s="13"/>
      <c r="D240" s="10"/>
    </row>
    <row r="241" spans="2:4">
      <c r="B241" s="13"/>
      <c r="D241"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659EA-9783-4565-A2F1-5D12B019A776}">
  <dimension ref="A1:M55"/>
  <sheetViews>
    <sheetView workbookViewId="0">
      <selection activeCell="F21" sqref="F21"/>
    </sheetView>
  </sheetViews>
  <sheetFormatPr defaultRowHeight="14.5"/>
  <cols>
    <col min="2" max="2" width="53.81640625" customWidth="1"/>
    <col min="3" max="4" width="15" bestFit="1" customWidth="1"/>
    <col min="5" max="5" width="9.6328125" bestFit="1" customWidth="1"/>
    <col min="7" max="7" width="14.453125" bestFit="1" customWidth="1"/>
  </cols>
  <sheetData>
    <row r="1" spans="1:13">
      <c r="A1" t="s">
        <v>329</v>
      </c>
      <c r="B1" t="s">
        <v>301</v>
      </c>
      <c r="C1" t="s">
        <v>337</v>
      </c>
      <c r="D1" t="s">
        <v>330</v>
      </c>
      <c r="E1" t="s">
        <v>331</v>
      </c>
      <c r="F1" t="s">
        <v>332</v>
      </c>
      <c r="G1" t="s">
        <v>336</v>
      </c>
      <c r="H1" t="s">
        <v>335</v>
      </c>
      <c r="I1" t="s">
        <v>2</v>
      </c>
      <c r="J1" t="s">
        <v>302</v>
      </c>
      <c r="K1" t="s">
        <v>303</v>
      </c>
      <c r="L1" t="s">
        <v>439</v>
      </c>
      <c r="M1" t="s">
        <v>457</v>
      </c>
    </row>
    <row r="2" spans="1:13">
      <c r="A2" t="s">
        <v>444</v>
      </c>
      <c r="B2" s="18" t="str">
        <f>_xlfn.TEXTJOIN(",",TRUE,Scenario!$A$2:$A$11)</f>
        <v>Set57_ES001_MdlMom_M_6moBF_PFOA_4,Set57_ES002_MdlMom_M_6moBF_PFOA_10,Set57_ES003_MdlMom_M_6moBF_PFOA_20,Set57_ES004_MdlMom_M_6moBF_PFOA_30,Set57_ES005_MdlMom_M_6moBF_PFOA_40,Set57_ES006_MdlMom_M_6moBF_PFOA_50,Set57_ES007_MdlMom_M_6moBF_PFOA_60,Set57_ES008_MdlMom_M_6moBF_PFOA_70,Set57_ES009_MdlMom_M_6moBF_PFOA_80,Set57_ES010_MdlMom_M_6moBF_PFOA_90</v>
      </c>
      <c r="C2" t="s">
        <v>304</v>
      </c>
      <c r="D2">
        <v>20</v>
      </c>
      <c r="E2">
        <v>90</v>
      </c>
      <c r="F2" s="14" t="s">
        <v>454</v>
      </c>
      <c r="G2" t="s">
        <v>445</v>
      </c>
      <c r="H2">
        <v>0.5</v>
      </c>
      <c r="I2" t="s">
        <v>3</v>
      </c>
      <c r="J2" t="s">
        <v>455</v>
      </c>
      <c r="K2" t="s">
        <v>451</v>
      </c>
      <c r="L2">
        <v>6</v>
      </c>
      <c r="M2" t="s">
        <v>458</v>
      </c>
    </row>
    <row r="3" spans="1:13">
      <c r="A3" t="s">
        <v>446</v>
      </c>
      <c r="B3" s="18" t="str">
        <f>_xlfn.TEXTJOIN(",",TRUE,Scenario!$A$12:$A$21)</f>
        <v>Set57_ES011_MdlMom_M_6moBF_PFOS_4,Set57_ES012_MdlMom_M_6moBF_PFOS_10,Set57_ES013_MdlMom_M_6moBF_PFOS_20,Set57_ES014_MdlMom_M_6moBF_PFOS_30,Set57_ES015_MdlMom_M_6moBF_PFOS_40,Set57_ES016_MdlMom_M_6moBF_PFOS_50,Set57_ES017_MdlMom_M_6moBF_PFOS_60,Set57_ES018_MdlMom_M_6moBF_PFOS_70,Set57_ES019_MdlMom_M_6moBF_PFOS_80,Set57_ES020_MdlMom_M_6moBF_PFOS_90</v>
      </c>
      <c r="C3" t="s">
        <v>304</v>
      </c>
      <c r="D3">
        <v>20</v>
      </c>
      <c r="E3">
        <v>90</v>
      </c>
      <c r="F3" s="14" t="s">
        <v>454</v>
      </c>
      <c r="G3" t="s">
        <v>445</v>
      </c>
      <c r="H3">
        <v>0.5</v>
      </c>
      <c r="I3" t="s">
        <v>4</v>
      </c>
      <c r="J3" t="s">
        <v>455</v>
      </c>
      <c r="K3" t="s">
        <v>451</v>
      </c>
      <c r="L3">
        <v>6</v>
      </c>
      <c r="M3" t="s">
        <v>458</v>
      </c>
    </row>
    <row r="4" spans="1:13">
      <c r="A4" t="s">
        <v>447</v>
      </c>
      <c r="B4" s="18" t="str">
        <f>_xlfn.TEXTJOIN(",",TRUE,Scenario!$A$22:$A$31)</f>
        <v>Set57_ES021_MdlMom_M_6moBF_PFHxS_4,Set57_ES022_MdlMom_M_6moBF_PFHxS_10,Set57_ES023_MdlMom_M_6moBF_PFHxS_20,Set57_ES024_MdlMom_M_6moBF_PFHxS_30,Set57_ES025_MdlMom_M_6moBF_PFHxS_40,Set57_ES026_MdlMom_M_6moBF_PFHxS_50,Set57_ES027_MdlMom_M_6moBF_PFHxS_60,Set57_ES028_MdlMom_M_6moBF_PFHxS_70,Set57_ES029_MdlMom_M_6moBF_PFHxS_80,Set57_ES030_MdlMom_M_6moBF_PFHxS_90</v>
      </c>
      <c r="C4" t="s">
        <v>304</v>
      </c>
      <c r="D4">
        <v>20</v>
      </c>
      <c r="E4">
        <v>90</v>
      </c>
      <c r="F4" s="14" t="s">
        <v>454</v>
      </c>
      <c r="G4" t="s">
        <v>445</v>
      </c>
      <c r="H4">
        <v>0.5</v>
      </c>
      <c r="I4" t="s">
        <v>6</v>
      </c>
      <c r="J4" t="s">
        <v>455</v>
      </c>
      <c r="K4" t="s">
        <v>451</v>
      </c>
      <c r="L4">
        <v>6</v>
      </c>
      <c r="M4" t="s">
        <v>458</v>
      </c>
    </row>
    <row r="5" spans="1:13">
      <c r="A5" t="s">
        <v>448</v>
      </c>
      <c r="B5" s="18" t="str">
        <f>_xlfn.TEXTJOIN(",",TRUE,Scenario!$A$32:$A$41)</f>
        <v>Set57_ES031_MdlMom_M_6moBF_PFNA_4,Set57_ES032_MdlMom_M_6moBF_PFNA_10,Set57_ES033_MdlMom_M_6moBF_PFNA_20,Set57_ES034_MdlMom_M_6moBF_PFNA_30,Set57_ES035_MdlMom_M_6moBF_PFNA_40,Set57_ES036_MdlMom_M_6moBF_PFNA_50,Set57_ES037_MdlMom_M_6moBF_PFNA_60,Set57_ES038_MdlMom_M_6moBF_PFNA_70,Set57_ES039_MdlMom_M_6moBF_PFNA_80,Set57_ES040_MdlMom_M_6moBF_PFNA_90</v>
      </c>
      <c r="C5" t="s">
        <v>304</v>
      </c>
      <c r="D5">
        <v>20</v>
      </c>
      <c r="E5">
        <v>90</v>
      </c>
      <c r="F5" s="14" t="s">
        <v>454</v>
      </c>
      <c r="G5" t="s">
        <v>445</v>
      </c>
      <c r="H5">
        <v>0.5</v>
      </c>
      <c r="I5" t="s">
        <v>5</v>
      </c>
      <c r="J5" t="s">
        <v>455</v>
      </c>
      <c r="K5" t="s">
        <v>451</v>
      </c>
      <c r="L5">
        <v>6</v>
      </c>
      <c r="M5" t="s">
        <v>458</v>
      </c>
    </row>
    <row r="6" spans="1:13">
      <c r="A6" t="s">
        <v>449</v>
      </c>
      <c r="B6" s="18" t="str">
        <f>_xlfn.TEXTJOIN(",",TRUE,Scenario!$A$42:$A$51)</f>
        <v>Set57_ES041_MdlMom_M_6moBF_PFDA_4,Set57_ES042_MdlMom_M_6moBF_PFDA_10,Set57_ES043_MdlMom_M_6moBF_PFDA_20,Set57_ES044_MdlMom_M_6moBF_PFDA_30,Set57_ES045_MdlMom_M_6moBF_PFDA_40,Set57_ES046_MdlMom_M_6moBF_PFDA_50,Set57_ES047_MdlMom_M_6moBF_PFDA_60,Set57_ES048_MdlMom_M_6moBF_PFDA_70,Set57_ES049_MdlMom_M_6moBF_PFDA_80,Set57_ES050_MdlMom_M_6moBF_PFDA_90</v>
      </c>
      <c r="C6" t="s">
        <v>304</v>
      </c>
      <c r="D6">
        <v>20</v>
      </c>
      <c r="E6">
        <v>90</v>
      </c>
      <c r="F6" s="14" t="s">
        <v>454</v>
      </c>
      <c r="G6" t="s">
        <v>445</v>
      </c>
      <c r="H6">
        <v>0.5</v>
      </c>
      <c r="I6" t="s">
        <v>36</v>
      </c>
      <c r="J6" t="s">
        <v>455</v>
      </c>
      <c r="K6" t="s">
        <v>451</v>
      </c>
      <c r="L6">
        <v>6</v>
      </c>
      <c r="M6" t="s">
        <v>458</v>
      </c>
    </row>
    <row r="7" spans="1:13">
      <c r="A7" t="s">
        <v>450</v>
      </c>
      <c r="B7" s="18" t="str">
        <f>_xlfn.TEXTJOIN(",",TRUE,Scenario!$A$52:$A$61)</f>
        <v>Set57_ES051_MdlMom_M_6moBF_PFHpA_4,Set57_ES052_MdlMom_M_6moBF_PFHpA_10,Set57_ES053_MdlMom_M_6moBF_PFHpA_20,Set57_ES054_MdlMom_M_6moBF_PFHpA_30,Set57_ES055_MdlMom_M_6moBF_PFHpA_40,Set57_ES056_MdlMom_M_6moBF_PFHpA_50,Set57_ES057_MdlMom_M_6moBF_PFHpA_60,Set57_ES058_MdlMom_M_6moBF_PFHpA_70,Set57_ES059_MdlMom_M_6moBF_PFHpA_80,Set57_ES060_MdlMom_M_6moBF_PFHpA_90</v>
      </c>
      <c r="C7" t="s">
        <v>304</v>
      </c>
      <c r="D7">
        <v>20</v>
      </c>
      <c r="E7">
        <v>90</v>
      </c>
      <c r="F7" s="14" t="s">
        <v>454</v>
      </c>
      <c r="G7" t="s">
        <v>445</v>
      </c>
      <c r="H7">
        <v>0.5</v>
      </c>
      <c r="I7" t="s">
        <v>35</v>
      </c>
      <c r="J7" t="s">
        <v>455</v>
      </c>
      <c r="K7" t="s">
        <v>451</v>
      </c>
      <c r="L7">
        <v>6</v>
      </c>
      <c r="M7" t="s">
        <v>458</v>
      </c>
    </row>
    <row r="8" spans="1:13">
      <c r="A8" t="s">
        <v>462</v>
      </c>
      <c r="B8" s="18" t="str">
        <f>_xlfn.TEXTJOIN(",",TRUE,Scenario!$A$2:$A$11)</f>
        <v>Set57_ES001_MdlMom_M_6moBF_PFOA_4,Set57_ES002_MdlMom_M_6moBF_PFOA_10,Set57_ES003_MdlMom_M_6moBF_PFOA_20,Set57_ES004_MdlMom_M_6moBF_PFOA_30,Set57_ES005_MdlMom_M_6moBF_PFOA_40,Set57_ES006_MdlMom_M_6moBF_PFOA_50,Set57_ES007_MdlMom_M_6moBF_PFOA_60,Set57_ES008_MdlMom_M_6moBF_PFOA_70,Set57_ES009_MdlMom_M_6moBF_PFOA_80,Set57_ES010_MdlMom_M_6moBF_PFOA_90</v>
      </c>
      <c r="C8" t="s">
        <v>304</v>
      </c>
      <c r="D8">
        <v>20</v>
      </c>
      <c r="E8">
        <v>90</v>
      </c>
      <c r="F8" s="14" t="s">
        <v>474</v>
      </c>
      <c r="G8" t="s">
        <v>445</v>
      </c>
      <c r="H8">
        <v>40</v>
      </c>
      <c r="I8" t="s">
        <v>3</v>
      </c>
      <c r="J8" t="s">
        <v>455</v>
      </c>
      <c r="K8" t="s">
        <v>451</v>
      </c>
      <c r="L8">
        <v>6</v>
      </c>
      <c r="M8" t="s">
        <v>458</v>
      </c>
    </row>
    <row r="9" spans="1:13">
      <c r="A9" t="s">
        <v>463</v>
      </c>
      <c r="B9" s="18" t="str">
        <f>_xlfn.TEXTJOIN(",",TRUE,Scenario!$A$12:$A$21)</f>
        <v>Set57_ES011_MdlMom_M_6moBF_PFOS_4,Set57_ES012_MdlMom_M_6moBF_PFOS_10,Set57_ES013_MdlMom_M_6moBF_PFOS_20,Set57_ES014_MdlMom_M_6moBF_PFOS_30,Set57_ES015_MdlMom_M_6moBF_PFOS_40,Set57_ES016_MdlMom_M_6moBF_PFOS_50,Set57_ES017_MdlMom_M_6moBF_PFOS_60,Set57_ES018_MdlMom_M_6moBF_PFOS_70,Set57_ES019_MdlMom_M_6moBF_PFOS_80,Set57_ES020_MdlMom_M_6moBF_PFOS_90</v>
      </c>
      <c r="C9" t="s">
        <v>304</v>
      </c>
      <c r="D9">
        <v>20</v>
      </c>
      <c r="E9">
        <v>90</v>
      </c>
      <c r="F9" s="14" t="s">
        <v>474</v>
      </c>
      <c r="G9" t="s">
        <v>445</v>
      </c>
      <c r="H9">
        <v>40</v>
      </c>
      <c r="I9" t="s">
        <v>4</v>
      </c>
      <c r="J9" t="s">
        <v>455</v>
      </c>
      <c r="K9" t="s">
        <v>451</v>
      </c>
      <c r="L9">
        <v>6</v>
      </c>
      <c r="M9" t="s">
        <v>458</v>
      </c>
    </row>
    <row r="10" spans="1:13">
      <c r="A10" t="s">
        <v>464</v>
      </c>
      <c r="B10" s="18" t="str">
        <f>_xlfn.TEXTJOIN(",",TRUE,Scenario!$A$22:$A$31)</f>
        <v>Set57_ES021_MdlMom_M_6moBF_PFHxS_4,Set57_ES022_MdlMom_M_6moBF_PFHxS_10,Set57_ES023_MdlMom_M_6moBF_PFHxS_20,Set57_ES024_MdlMom_M_6moBF_PFHxS_30,Set57_ES025_MdlMom_M_6moBF_PFHxS_40,Set57_ES026_MdlMom_M_6moBF_PFHxS_50,Set57_ES027_MdlMom_M_6moBF_PFHxS_60,Set57_ES028_MdlMom_M_6moBF_PFHxS_70,Set57_ES029_MdlMom_M_6moBF_PFHxS_80,Set57_ES030_MdlMom_M_6moBF_PFHxS_90</v>
      </c>
      <c r="C10" t="s">
        <v>304</v>
      </c>
      <c r="D10">
        <v>20</v>
      </c>
      <c r="E10">
        <v>90</v>
      </c>
      <c r="F10" s="14" t="s">
        <v>474</v>
      </c>
      <c r="G10" t="s">
        <v>445</v>
      </c>
      <c r="H10">
        <v>40</v>
      </c>
      <c r="I10" t="s">
        <v>6</v>
      </c>
      <c r="J10" t="s">
        <v>455</v>
      </c>
      <c r="K10" t="s">
        <v>451</v>
      </c>
      <c r="L10">
        <v>6</v>
      </c>
      <c r="M10" t="s">
        <v>458</v>
      </c>
    </row>
    <row r="11" spans="1:13">
      <c r="A11" t="s">
        <v>465</v>
      </c>
      <c r="B11" s="18" t="str">
        <f>_xlfn.TEXTJOIN(",",TRUE,Scenario!$A$32:$A$41)</f>
        <v>Set57_ES031_MdlMom_M_6moBF_PFNA_4,Set57_ES032_MdlMom_M_6moBF_PFNA_10,Set57_ES033_MdlMom_M_6moBF_PFNA_20,Set57_ES034_MdlMom_M_6moBF_PFNA_30,Set57_ES035_MdlMom_M_6moBF_PFNA_40,Set57_ES036_MdlMom_M_6moBF_PFNA_50,Set57_ES037_MdlMom_M_6moBF_PFNA_60,Set57_ES038_MdlMom_M_6moBF_PFNA_70,Set57_ES039_MdlMom_M_6moBF_PFNA_80,Set57_ES040_MdlMom_M_6moBF_PFNA_90</v>
      </c>
      <c r="C11" t="s">
        <v>304</v>
      </c>
      <c r="D11">
        <v>20</v>
      </c>
      <c r="E11">
        <v>90</v>
      </c>
      <c r="F11" s="14" t="s">
        <v>474</v>
      </c>
      <c r="G11" t="s">
        <v>445</v>
      </c>
      <c r="H11">
        <v>40</v>
      </c>
      <c r="I11" t="s">
        <v>5</v>
      </c>
      <c r="J11" t="s">
        <v>455</v>
      </c>
      <c r="K11" t="s">
        <v>451</v>
      </c>
      <c r="L11">
        <v>6</v>
      </c>
      <c r="M11" t="s">
        <v>458</v>
      </c>
    </row>
    <row r="12" spans="1:13">
      <c r="A12" t="s">
        <v>466</v>
      </c>
      <c r="B12" s="18" t="str">
        <f>_xlfn.TEXTJOIN(",",TRUE,Scenario!$A$42:$A$51)</f>
        <v>Set57_ES041_MdlMom_M_6moBF_PFDA_4,Set57_ES042_MdlMom_M_6moBF_PFDA_10,Set57_ES043_MdlMom_M_6moBF_PFDA_20,Set57_ES044_MdlMom_M_6moBF_PFDA_30,Set57_ES045_MdlMom_M_6moBF_PFDA_40,Set57_ES046_MdlMom_M_6moBF_PFDA_50,Set57_ES047_MdlMom_M_6moBF_PFDA_60,Set57_ES048_MdlMom_M_6moBF_PFDA_70,Set57_ES049_MdlMom_M_6moBF_PFDA_80,Set57_ES050_MdlMom_M_6moBF_PFDA_90</v>
      </c>
      <c r="C12" t="s">
        <v>304</v>
      </c>
      <c r="D12">
        <v>20</v>
      </c>
      <c r="E12">
        <v>90</v>
      </c>
      <c r="F12" s="14" t="s">
        <v>474</v>
      </c>
      <c r="G12" t="s">
        <v>445</v>
      </c>
      <c r="H12">
        <v>40</v>
      </c>
      <c r="I12" t="s">
        <v>36</v>
      </c>
      <c r="J12" t="s">
        <v>455</v>
      </c>
      <c r="K12" t="s">
        <v>451</v>
      </c>
      <c r="L12">
        <v>6</v>
      </c>
      <c r="M12" t="s">
        <v>458</v>
      </c>
    </row>
    <row r="13" spans="1:13">
      <c r="A13" t="s">
        <v>467</v>
      </c>
      <c r="B13" s="18" t="str">
        <f>_xlfn.TEXTJOIN(",",TRUE,Scenario!$A$52:$A$61)</f>
        <v>Set57_ES051_MdlMom_M_6moBF_PFHpA_4,Set57_ES052_MdlMom_M_6moBF_PFHpA_10,Set57_ES053_MdlMom_M_6moBF_PFHpA_20,Set57_ES054_MdlMom_M_6moBF_PFHpA_30,Set57_ES055_MdlMom_M_6moBF_PFHpA_40,Set57_ES056_MdlMom_M_6moBF_PFHpA_50,Set57_ES057_MdlMom_M_6moBF_PFHpA_60,Set57_ES058_MdlMom_M_6moBF_PFHpA_70,Set57_ES059_MdlMom_M_6moBF_PFHpA_80,Set57_ES060_MdlMom_M_6moBF_PFHpA_90</v>
      </c>
      <c r="C13" t="s">
        <v>304</v>
      </c>
      <c r="D13">
        <v>20</v>
      </c>
      <c r="E13">
        <v>90</v>
      </c>
      <c r="F13" s="14" t="s">
        <v>474</v>
      </c>
      <c r="G13" t="s">
        <v>445</v>
      </c>
      <c r="H13">
        <v>40</v>
      </c>
      <c r="I13" t="s">
        <v>35</v>
      </c>
      <c r="J13" t="s">
        <v>455</v>
      </c>
      <c r="K13" t="s">
        <v>451</v>
      </c>
      <c r="L13">
        <v>6</v>
      </c>
      <c r="M13" t="s">
        <v>458</v>
      </c>
    </row>
    <row r="14" spans="1:13">
      <c r="A14" t="s">
        <v>468</v>
      </c>
      <c r="B14" s="18" t="str">
        <f>_xlfn.TEXTJOIN(",",TRUE,Scenario!$A$2:$A$11)</f>
        <v>Set57_ES001_MdlMom_M_6moBF_PFOA_4,Set57_ES002_MdlMom_M_6moBF_PFOA_10,Set57_ES003_MdlMom_M_6moBF_PFOA_20,Set57_ES004_MdlMom_M_6moBF_PFOA_30,Set57_ES005_MdlMom_M_6moBF_PFOA_40,Set57_ES006_MdlMom_M_6moBF_PFOA_50,Set57_ES007_MdlMom_M_6moBF_PFOA_60,Set57_ES008_MdlMom_M_6moBF_PFOA_70,Set57_ES009_MdlMom_M_6moBF_PFOA_80,Set57_ES010_MdlMom_M_6moBF_PFOA_90</v>
      </c>
      <c r="C14" t="s">
        <v>304</v>
      </c>
      <c r="D14">
        <v>20</v>
      </c>
      <c r="E14">
        <v>90</v>
      </c>
      <c r="F14" s="14" t="s">
        <v>456</v>
      </c>
      <c r="G14" t="s">
        <v>445</v>
      </c>
      <c r="H14">
        <v>70</v>
      </c>
      <c r="I14" t="s">
        <v>3</v>
      </c>
      <c r="J14" t="s">
        <v>455</v>
      </c>
      <c r="K14" t="s">
        <v>451</v>
      </c>
      <c r="L14">
        <v>6</v>
      </c>
      <c r="M14" t="s">
        <v>458</v>
      </c>
    </row>
    <row r="15" spans="1:13">
      <c r="A15" t="s">
        <v>469</v>
      </c>
      <c r="B15" s="18" t="str">
        <f>_xlfn.TEXTJOIN(",",TRUE,Scenario!$A$12:$A$21)</f>
        <v>Set57_ES011_MdlMom_M_6moBF_PFOS_4,Set57_ES012_MdlMom_M_6moBF_PFOS_10,Set57_ES013_MdlMom_M_6moBF_PFOS_20,Set57_ES014_MdlMom_M_6moBF_PFOS_30,Set57_ES015_MdlMom_M_6moBF_PFOS_40,Set57_ES016_MdlMom_M_6moBF_PFOS_50,Set57_ES017_MdlMom_M_6moBF_PFOS_60,Set57_ES018_MdlMom_M_6moBF_PFOS_70,Set57_ES019_MdlMom_M_6moBF_PFOS_80,Set57_ES020_MdlMom_M_6moBF_PFOS_90</v>
      </c>
      <c r="C15" t="s">
        <v>304</v>
      </c>
      <c r="D15">
        <v>20</v>
      </c>
      <c r="E15">
        <v>90</v>
      </c>
      <c r="F15" s="14" t="s">
        <v>456</v>
      </c>
      <c r="G15" t="s">
        <v>445</v>
      </c>
      <c r="H15">
        <v>70</v>
      </c>
      <c r="I15" t="s">
        <v>4</v>
      </c>
      <c r="J15" t="s">
        <v>455</v>
      </c>
      <c r="K15" t="s">
        <v>451</v>
      </c>
      <c r="L15">
        <v>6</v>
      </c>
      <c r="M15" t="s">
        <v>458</v>
      </c>
    </row>
    <row r="16" spans="1:13">
      <c r="A16" t="s">
        <v>470</v>
      </c>
      <c r="B16" s="18" t="str">
        <f>_xlfn.TEXTJOIN(",",TRUE,Scenario!$A$22:$A$31)</f>
        <v>Set57_ES021_MdlMom_M_6moBF_PFHxS_4,Set57_ES022_MdlMom_M_6moBF_PFHxS_10,Set57_ES023_MdlMom_M_6moBF_PFHxS_20,Set57_ES024_MdlMom_M_6moBF_PFHxS_30,Set57_ES025_MdlMom_M_6moBF_PFHxS_40,Set57_ES026_MdlMom_M_6moBF_PFHxS_50,Set57_ES027_MdlMom_M_6moBF_PFHxS_60,Set57_ES028_MdlMom_M_6moBF_PFHxS_70,Set57_ES029_MdlMom_M_6moBF_PFHxS_80,Set57_ES030_MdlMom_M_6moBF_PFHxS_90</v>
      </c>
      <c r="C16" t="s">
        <v>304</v>
      </c>
      <c r="D16">
        <v>20</v>
      </c>
      <c r="E16">
        <v>90</v>
      </c>
      <c r="F16" s="14" t="s">
        <v>456</v>
      </c>
      <c r="G16" t="s">
        <v>445</v>
      </c>
      <c r="H16">
        <v>70</v>
      </c>
      <c r="I16" t="s">
        <v>6</v>
      </c>
      <c r="J16" t="s">
        <v>455</v>
      </c>
      <c r="K16" t="s">
        <v>451</v>
      </c>
      <c r="L16">
        <v>6</v>
      </c>
      <c r="M16" t="s">
        <v>458</v>
      </c>
    </row>
    <row r="17" spans="1:13">
      <c r="A17" t="s">
        <v>471</v>
      </c>
      <c r="B17" s="18" t="str">
        <f>_xlfn.TEXTJOIN(",",TRUE,Scenario!$A$32:$A$41)</f>
        <v>Set57_ES031_MdlMom_M_6moBF_PFNA_4,Set57_ES032_MdlMom_M_6moBF_PFNA_10,Set57_ES033_MdlMom_M_6moBF_PFNA_20,Set57_ES034_MdlMom_M_6moBF_PFNA_30,Set57_ES035_MdlMom_M_6moBF_PFNA_40,Set57_ES036_MdlMom_M_6moBF_PFNA_50,Set57_ES037_MdlMom_M_6moBF_PFNA_60,Set57_ES038_MdlMom_M_6moBF_PFNA_70,Set57_ES039_MdlMom_M_6moBF_PFNA_80,Set57_ES040_MdlMom_M_6moBF_PFNA_90</v>
      </c>
      <c r="C17" t="s">
        <v>304</v>
      </c>
      <c r="D17">
        <v>20</v>
      </c>
      <c r="E17">
        <v>90</v>
      </c>
      <c r="F17" s="14" t="s">
        <v>456</v>
      </c>
      <c r="G17" t="s">
        <v>445</v>
      </c>
      <c r="H17">
        <v>70</v>
      </c>
      <c r="I17" t="s">
        <v>5</v>
      </c>
      <c r="J17" t="s">
        <v>455</v>
      </c>
      <c r="K17" t="s">
        <v>451</v>
      </c>
      <c r="L17">
        <v>6</v>
      </c>
      <c r="M17" t="s">
        <v>458</v>
      </c>
    </row>
    <row r="18" spans="1:13">
      <c r="A18" t="s">
        <v>472</v>
      </c>
      <c r="B18" s="18" t="str">
        <f>_xlfn.TEXTJOIN(",",TRUE,Scenario!$A$42:$A$51)</f>
        <v>Set57_ES041_MdlMom_M_6moBF_PFDA_4,Set57_ES042_MdlMom_M_6moBF_PFDA_10,Set57_ES043_MdlMom_M_6moBF_PFDA_20,Set57_ES044_MdlMom_M_6moBF_PFDA_30,Set57_ES045_MdlMom_M_6moBF_PFDA_40,Set57_ES046_MdlMom_M_6moBF_PFDA_50,Set57_ES047_MdlMom_M_6moBF_PFDA_60,Set57_ES048_MdlMom_M_6moBF_PFDA_70,Set57_ES049_MdlMom_M_6moBF_PFDA_80,Set57_ES050_MdlMom_M_6moBF_PFDA_90</v>
      </c>
      <c r="C18" t="s">
        <v>304</v>
      </c>
      <c r="D18">
        <v>20</v>
      </c>
      <c r="E18">
        <v>90</v>
      </c>
      <c r="F18" s="14" t="s">
        <v>456</v>
      </c>
      <c r="G18" t="s">
        <v>445</v>
      </c>
      <c r="H18">
        <v>70</v>
      </c>
      <c r="I18" t="s">
        <v>36</v>
      </c>
      <c r="J18" t="s">
        <v>455</v>
      </c>
      <c r="K18" t="s">
        <v>451</v>
      </c>
      <c r="L18">
        <v>6</v>
      </c>
      <c r="M18" t="s">
        <v>458</v>
      </c>
    </row>
    <row r="19" spans="1:13">
      <c r="A19" t="s">
        <v>473</v>
      </c>
      <c r="B19" s="18" t="str">
        <f>_xlfn.TEXTJOIN(",",TRUE,Scenario!$A$52:$A$61)</f>
        <v>Set57_ES051_MdlMom_M_6moBF_PFHpA_4,Set57_ES052_MdlMom_M_6moBF_PFHpA_10,Set57_ES053_MdlMom_M_6moBF_PFHpA_20,Set57_ES054_MdlMom_M_6moBF_PFHpA_30,Set57_ES055_MdlMom_M_6moBF_PFHpA_40,Set57_ES056_MdlMom_M_6moBF_PFHpA_50,Set57_ES057_MdlMom_M_6moBF_PFHpA_60,Set57_ES058_MdlMom_M_6moBF_PFHpA_70,Set57_ES059_MdlMom_M_6moBF_PFHpA_80,Set57_ES060_MdlMom_M_6moBF_PFHpA_90</v>
      </c>
      <c r="C19" t="s">
        <v>304</v>
      </c>
      <c r="D19">
        <v>20</v>
      </c>
      <c r="E19">
        <v>90</v>
      </c>
      <c r="F19" s="14" t="s">
        <v>456</v>
      </c>
      <c r="G19" t="s">
        <v>445</v>
      </c>
      <c r="H19">
        <v>70</v>
      </c>
      <c r="I19" t="s">
        <v>35</v>
      </c>
      <c r="J19" t="s">
        <v>455</v>
      </c>
      <c r="K19" t="s">
        <v>451</v>
      </c>
      <c r="L19">
        <v>6</v>
      </c>
      <c r="M19" t="s">
        <v>458</v>
      </c>
    </row>
    <row r="20" spans="1:13">
      <c r="A20" t="s">
        <v>544</v>
      </c>
      <c r="B20" s="18" t="str">
        <f>_xlfn.TEXTJOIN(",",TRUE,Scenario!$A$2:$A$11)</f>
        <v>Set57_ES001_MdlMom_M_6moBF_PFOA_4,Set57_ES002_MdlMom_M_6moBF_PFOA_10,Set57_ES003_MdlMom_M_6moBF_PFOA_20,Set57_ES004_MdlMom_M_6moBF_PFOA_30,Set57_ES005_MdlMom_M_6moBF_PFOA_40,Set57_ES006_MdlMom_M_6moBF_PFOA_50,Set57_ES007_MdlMom_M_6moBF_PFOA_60,Set57_ES008_MdlMom_M_6moBF_PFOA_70,Set57_ES009_MdlMom_M_6moBF_PFOA_80,Set57_ES010_MdlMom_M_6moBF_PFOA_90</v>
      </c>
      <c r="C20" t="s">
        <v>304</v>
      </c>
      <c r="D20">
        <v>20</v>
      </c>
      <c r="E20">
        <v>75</v>
      </c>
      <c r="F20" s="14" t="s">
        <v>454</v>
      </c>
      <c r="G20" t="s">
        <v>445</v>
      </c>
      <c r="H20">
        <v>0.5</v>
      </c>
      <c r="I20" t="s">
        <v>3</v>
      </c>
      <c r="J20" t="s">
        <v>455</v>
      </c>
      <c r="K20" t="s">
        <v>451</v>
      </c>
      <c r="L20">
        <v>6</v>
      </c>
      <c r="M20" t="s">
        <v>458</v>
      </c>
    </row>
    <row r="21" spans="1:13">
      <c r="A21" t="s">
        <v>545</v>
      </c>
      <c r="B21" s="18" t="str">
        <f>_xlfn.TEXTJOIN(",",TRUE,Scenario!$A$12:$A$21)</f>
        <v>Set57_ES011_MdlMom_M_6moBF_PFOS_4,Set57_ES012_MdlMom_M_6moBF_PFOS_10,Set57_ES013_MdlMom_M_6moBF_PFOS_20,Set57_ES014_MdlMom_M_6moBF_PFOS_30,Set57_ES015_MdlMom_M_6moBF_PFOS_40,Set57_ES016_MdlMom_M_6moBF_PFOS_50,Set57_ES017_MdlMom_M_6moBF_PFOS_60,Set57_ES018_MdlMom_M_6moBF_PFOS_70,Set57_ES019_MdlMom_M_6moBF_PFOS_80,Set57_ES020_MdlMom_M_6moBF_PFOS_90</v>
      </c>
      <c r="C21" t="s">
        <v>304</v>
      </c>
      <c r="D21">
        <v>20</v>
      </c>
      <c r="E21">
        <v>75</v>
      </c>
      <c r="F21" s="14" t="s">
        <v>454</v>
      </c>
      <c r="G21" t="s">
        <v>445</v>
      </c>
      <c r="H21">
        <v>0.5</v>
      </c>
      <c r="I21" t="s">
        <v>4</v>
      </c>
      <c r="J21" t="s">
        <v>455</v>
      </c>
      <c r="K21" t="s">
        <v>451</v>
      </c>
      <c r="L21">
        <v>6</v>
      </c>
      <c r="M21" t="s">
        <v>458</v>
      </c>
    </row>
    <row r="22" spans="1:13">
      <c r="A22" t="s">
        <v>546</v>
      </c>
      <c r="B22" s="18" t="str">
        <f>_xlfn.TEXTJOIN(",",TRUE,Scenario!$A$22:$A$31)</f>
        <v>Set57_ES021_MdlMom_M_6moBF_PFHxS_4,Set57_ES022_MdlMom_M_6moBF_PFHxS_10,Set57_ES023_MdlMom_M_6moBF_PFHxS_20,Set57_ES024_MdlMom_M_6moBF_PFHxS_30,Set57_ES025_MdlMom_M_6moBF_PFHxS_40,Set57_ES026_MdlMom_M_6moBF_PFHxS_50,Set57_ES027_MdlMom_M_6moBF_PFHxS_60,Set57_ES028_MdlMom_M_6moBF_PFHxS_70,Set57_ES029_MdlMom_M_6moBF_PFHxS_80,Set57_ES030_MdlMom_M_6moBF_PFHxS_90</v>
      </c>
      <c r="C22" t="s">
        <v>304</v>
      </c>
      <c r="D22">
        <v>20</v>
      </c>
      <c r="E22">
        <v>75</v>
      </c>
      <c r="F22" s="14" t="s">
        <v>454</v>
      </c>
      <c r="G22" t="s">
        <v>445</v>
      </c>
      <c r="H22">
        <v>0.5</v>
      </c>
      <c r="I22" t="s">
        <v>6</v>
      </c>
      <c r="J22" t="s">
        <v>455</v>
      </c>
      <c r="K22" t="s">
        <v>451</v>
      </c>
      <c r="L22">
        <v>6</v>
      </c>
      <c r="M22" t="s">
        <v>458</v>
      </c>
    </row>
    <row r="23" spans="1:13">
      <c r="A23" t="s">
        <v>547</v>
      </c>
      <c r="B23" s="18" t="str">
        <f>_xlfn.TEXTJOIN(",",TRUE,Scenario!$A$32:$A$41)</f>
        <v>Set57_ES031_MdlMom_M_6moBF_PFNA_4,Set57_ES032_MdlMom_M_6moBF_PFNA_10,Set57_ES033_MdlMom_M_6moBF_PFNA_20,Set57_ES034_MdlMom_M_6moBF_PFNA_30,Set57_ES035_MdlMom_M_6moBF_PFNA_40,Set57_ES036_MdlMom_M_6moBF_PFNA_50,Set57_ES037_MdlMom_M_6moBF_PFNA_60,Set57_ES038_MdlMom_M_6moBF_PFNA_70,Set57_ES039_MdlMom_M_6moBF_PFNA_80,Set57_ES040_MdlMom_M_6moBF_PFNA_90</v>
      </c>
      <c r="C23" t="s">
        <v>304</v>
      </c>
      <c r="D23">
        <v>20</v>
      </c>
      <c r="E23">
        <v>75</v>
      </c>
      <c r="F23" s="14" t="s">
        <v>454</v>
      </c>
      <c r="G23" t="s">
        <v>445</v>
      </c>
      <c r="H23">
        <v>0.5</v>
      </c>
      <c r="I23" t="s">
        <v>5</v>
      </c>
      <c r="J23" t="s">
        <v>455</v>
      </c>
      <c r="K23" t="s">
        <v>451</v>
      </c>
      <c r="L23">
        <v>6</v>
      </c>
      <c r="M23" t="s">
        <v>458</v>
      </c>
    </row>
    <row r="24" spans="1:13">
      <c r="A24" t="s">
        <v>548</v>
      </c>
      <c r="B24" s="18" t="str">
        <f>_xlfn.TEXTJOIN(",",TRUE,Scenario!$A$42:$A$51)</f>
        <v>Set57_ES041_MdlMom_M_6moBF_PFDA_4,Set57_ES042_MdlMom_M_6moBF_PFDA_10,Set57_ES043_MdlMom_M_6moBF_PFDA_20,Set57_ES044_MdlMom_M_6moBF_PFDA_30,Set57_ES045_MdlMom_M_6moBF_PFDA_40,Set57_ES046_MdlMom_M_6moBF_PFDA_50,Set57_ES047_MdlMom_M_6moBF_PFDA_60,Set57_ES048_MdlMom_M_6moBF_PFDA_70,Set57_ES049_MdlMom_M_6moBF_PFDA_80,Set57_ES050_MdlMom_M_6moBF_PFDA_90</v>
      </c>
      <c r="C24" t="s">
        <v>304</v>
      </c>
      <c r="D24">
        <v>20</v>
      </c>
      <c r="E24">
        <v>75</v>
      </c>
      <c r="F24" s="14" t="s">
        <v>454</v>
      </c>
      <c r="G24" t="s">
        <v>445</v>
      </c>
      <c r="H24">
        <v>0.5</v>
      </c>
      <c r="I24" t="s">
        <v>36</v>
      </c>
      <c r="J24" t="s">
        <v>455</v>
      </c>
      <c r="K24" t="s">
        <v>451</v>
      </c>
      <c r="L24">
        <v>6</v>
      </c>
      <c r="M24" t="s">
        <v>458</v>
      </c>
    </row>
    <row r="25" spans="1:13">
      <c r="A25" t="s">
        <v>549</v>
      </c>
      <c r="B25" s="18" t="str">
        <f>_xlfn.TEXTJOIN(",",TRUE,Scenario!$A$52:$A$61)</f>
        <v>Set57_ES051_MdlMom_M_6moBF_PFHpA_4,Set57_ES052_MdlMom_M_6moBF_PFHpA_10,Set57_ES053_MdlMom_M_6moBF_PFHpA_20,Set57_ES054_MdlMom_M_6moBF_PFHpA_30,Set57_ES055_MdlMom_M_6moBF_PFHpA_40,Set57_ES056_MdlMom_M_6moBF_PFHpA_50,Set57_ES057_MdlMom_M_6moBF_PFHpA_60,Set57_ES058_MdlMom_M_6moBF_PFHpA_70,Set57_ES059_MdlMom_M_6moBF_PFHpA_80,Set57_ES060_MdlMom_M_6moBF_PFHpA_90</v>
      </c>
      <c r="C25" t="s">
        <v>304</v>
      </c>
      <c r="D25">
        <v>20</v>
      </c>
      <c r="E25">
        <v>75</v>
      </c>
      <c r="F25" s="14" t="s">
        <v>454</v>
      </c>
      <c r="G25" t="s">
        <v>445</v>
      </c>
      <c r="H25">
        <v>0.5</v>
      </c>
      <c r="I25" t="s">
        <v>35</v>
      </c>
      <c r="J25" t="s">
        <v>455</v>
      </c>
      <c r="K25" t="s">
        <v>451</v>
      </c>
      <c r="L25">
        <v>6</v>
      </c>
      <c r="M25" t="s">
        <v>458</v>
      </c>
    </row>
    <row r="26" spans="1:13">
      <c r="A26" t="s">
        <v>550</v>
      </c>
      <c r="B26" s="18" t="str">
        <f>_xlfn.TEXTJOIN(",",TRUE,Scenario!$A$2:$A$11)</f>
        <v>Set57_ES001_MdlMom_M_6moBF_PFOA_4,Set57_ES002_MdlMom_M_6moBF_PFOA_10,Set57_ES003_MdlMom_M_6moBF_PFOA_20,Set57_ES004_MdlMom_M_6moBF_PFOA_30,Set57_ES005_MdlMom_M_6moBF_PFOA_40,Set57_ES006_MdlMom_M_6moBF_PFOA_50,Set57_ES007_MdlMom_M_6moBF_PFOA_60,Set57_ES008_MdlMom_M_6moBF_PFOA_70,Set57_ES009_MdlMom_M_6moBF_PFOA_80,Set57_ES010_MdlMom_M_6moBF_PFOA_90</v>
      </c>
      <c r="C26" t="s">
        <v>304</v>
      </c>
      <c r="D26">
        <v>20</v>
      </c>
      <c r="E26">
        <v>75</v>
      </c>
      <c r="F26" s="14" t="s">
        <v>474</v>
      </c>
      <c r="G26" t="s">
        <v>445</v>
      </c>
      <c r="H26">
        <v>40</v>
      </c>
      <c r="I26" t="s">
        <v>3</v>
      </c>
      <c r="J26" t="s">
        <v>455</v>
      </c>
      <c r="K26" t="s">
        <v>451</v>
      </c>
      <c r="L26">
        <v>6</v>
      </c>
      <c r="M26" t="s">
        <v>458</v>
      </c>
    </row>
    <row r="27" spans="1:13">
      <c r="A27" t="s">
        <v>551</v>
      </c>
      <c r="B27" s="18" t="str">
        <f>_xlfn.TEXTJOIN(",",TRUE,Scenario!$A$12:$A$21)</f>
        <v>Set57_ES011_MdlMom_M_6moBF_PFOS_4,Set57_ES012_MdlMom_M_6moBF_PFOS_10,Set57_ES013_MdlMom_M_6moBF_PFOS_20,Set57_ES014_MdlMom_M_6moBF_PFOS_30,Set57_ES015_MdlMom_M_6moBF_PFOS_40,Set57_ES016_MdlMom_M_6moBF_PFOS_50,Set57_ES017_MdlMom_M_6moBF_PFOS_60,Set57_ES018_MdlMom_M_6moBF_PFOS_70,Set57_ES019_MdlMom_M_6moBF_PFOS_80,Set57_ES020_MdlMom_M_6moBF_PFOS_90</v>
      </c>
      <c r="C27" t="s">
        <v>304</v>
      </c>
      <c r="D27">
        <v>20</v>
      </c>
      <c r="E27">
        <v>75</v>
      </c>
      <c r="F27" s="14" t="s">
        <v>474</v>
      </c>
      <c r="G27" t="s">
        <v>445</v>
      </c>
      <c r="H27">
        <v>40</v>
      </c>
      <c r="I27" t="s">
        <v>4</v>
      </c>
      <c r="J27" t="s">
        <v>455</v>
      </c>
      <c r="K27" t="s">
        <v>451</v>
      </c>
      <c r="L27">
        <v>6</v>
      </c>
      <c r="M27" t="s">
        <v>458</v>
      </c>
    </row>
    <row r="28" spans="1:13">
      <c r="A28" t="s">
        <v>552</v>
      </c>
      <c r="B28" s="18" t="str">
        <f>_xlfn.TEXTJOIN(",",TRUE,Scenario!$A$22:$A$31)</f>
        <v>Set57_ES021_MdlMom_M_6moBF_PFHxS_4,Set57_ES022_MdlMom_M_6moBF_PFHxS_10,Set57_ES023_MdlMom_M_6moBF_PFHxS_20,Set57_ES024_MdlMom_M_6moBF_PFHxS_30,Set57_ES025_MdlMom_M_6moBF_PFHxS_40,Set57_ES026_MdlMom_M_6moBF_PFHxS_50,Set57_ES027_MdlMom_M_6moBF_PFHxS_60,Set57_ES028_MdlMom_M_6moBF_PFHxS_70,Set57_ES029_MdlMom_M_6moBF_PFHxS_80,Set57_ES030_MdlMom_M_6moBF_PFHxS_90</v>
      </c>
      <c r="C28" t="s">
        <v>304</v>
      </c>
      <c r="D28">
        <v>20</v>
      </c>
      <c r="E28">
        <v>75</v>
      </c>
      <c r="F28" s="14" t="s">
        <v>474</v>
      </c>
      <c r="G28" t="s">
        <v>445</v>
      </c>
      <c r="H28">
        <v>40</v>
      </c>
      <c r="I28" t="s">
        <v>6</v>
      </c>
      <c r="J28" t="s">
        <v>455</v>
      </c>
      <c r="K28" t="s">
        <v>451</v>
      </c>
      <c r="L28">
        <v>6</v>
      </c>
      <c r="M28" t="s">
        <v>458</v>
      </c>
    </row>
    <row r="29" spans="1:13">
      <c r="A29" t="s">
        <v>553</v>
      </c>
      <c r="B29" s="18" t="str">
        <f>_xlfn.TEXTJOIN(",",TRUE,Scenario!$A$32:$A$41)</f>
        <v>Set57_ES031_MdlMom_M_6moBF_PFNA_4,Set57_ES032_MdlMom_M_6moBF_PFNA_10,Set57_ES033_MdlMom_M_6moBF_PFNA_20,Set57_ES034_MdlMom_M_6moBF_PFNA_30,Set57_ES035_MdlMom_M_6moBF_PFNA_40,Set57_ES036_MdlMom_M_6moBF_PFNA_50,Set57_ES037_MdlMom_M_6moBF_PFNA_60,Set57_ES038_MdlMom_M_6moBF_PFNA_70,Set57_ES039_MdlMom_M_6moBF_PFNA_80,Set57_ES040_MdlMom_M_6moBF_PFNA_90</v>
      </c>
      <c r="C29" t="s">
        <v>304</v>
      </c>
      <c r="D29">
        <v>20</v>
      </c>
      <c r="E29">
        <v>75</v>
      </c>
      <c r="F29" s="14" t="s">
        <v>474</v>
      </c>
      <c r="G29" t="s">
        <v>445</v>
      </c>
      <c r="H29">
        <v>40</v>
      </c>
      <c r="I29" t="s">
        <v>5</v>
      </c>
      <c r="J29" t="s">
        <v>455</v>
      </c>
      <c r="K29" t="s">
        <v>451</v>
      </c>
      <c r="L29">
        <v>6</v>
      </c>
      <c r="M29" t="s">
        <v>458</v>
      </c>
    </row>
    <row r="30" spans="1:13">
      <c r="A30" t="s">
        <v>554</v>
      </c>
      <c r="B30" s="18" t="str">
        <f>_xlfn.TEXTJOIN(",",TRUE,Scenario!$A$42:$A$51)</f>
        <v>Set57_ES041_MdlMom_M_6moBF_PFDA_4,Set57_ES042_MdlMom_M_6moBF_PFDA_10,Set57_ES043_MdlMom_M_6moBF_PFDA_20,Set57_ES044_MdlMom_M_6moBF_PFDA_30,Set57_ES045_MdlMom_M_6moBF_PFDA_40,Set57_ES046_MdlMom_M_6moBF_PFDA_50,Set57_ES047_MdlMom_M_6moBF_PFDA_60,Set57_ES048_MdlMom_M_6moBF_PFDA_70,Set57_ES049_MdlMom_M_6moBF_PFDA_80,Set57_ES050_MdlMom_M_6moBF_PFDA_90</v>
      </c>
      <c r="C30" t="s">
        <v>304</v>
      </c>
      <c r="D30">
        <v>20</v>
      </c>
      <c r="E30">
        <v>75</v>
      </c>
      <c r="F30" s="14" t="s">
        <v>474</v>
      </c>
      <c r="G30" t="s">
        <v>445</v>
      </c>
      <c r="H30">
        <v>40</v>
      </c>
      <c r="I30" t="s">
        <v>36</v>
      </c>
      <c r="J30" t="s">
        <v>455</v>
      </c>
      <c r="K30" t="s">
        <v>451</v>
      </c>
      <c r="L30">
        <v>6</v>
      </c>
      <c r="M30" t="s">
        <v>458</v>
      </c>
    </row>
    <row r="31" spans="1:13">
      <c r="A31" t="s">
        <v>555</v>
      </c>
      <c r="B31" s="18" t="str">
        <f>_xlfn.TEXTJOIN(",",TRUE,Scenario!$A$52:$A$61)</f>
        <v>Set57_ES051_MdlMom_M_6moBF_PFHpA_4,Set57_ES052_MdlMom_M_6moBF_PFHpA_10,Set57_ES053_MdlMom_M_6moBF_PFHpA_20,Set57_ES054_MdlMom_M_6moBF_PFHpA_30,Set57_ES055_MdlMom_M_6moBF_PFHpA_40,Set57_ES056_MdlMom_M_6moBF_PFHpA_50,Set57_ES057_MdlMom_M_6moBF_PFHpA_60,Set57_ES058_MdlMom_M_6moBF_PFHpA_70,Set57_ES059_MdlMom_M_6moBF_PFHpA_80,Set57_ES060_MdlMom_M_6moBF_PFHpA_90</v>
      </c>
      <c r="C31" t="s">
        <v>304</v>
      </c>
      <c r="D31">
        <v>20</v>
      </c>
      <c r="E31">
        <v>75</v>
      </c>
      <c r="F31" s="14" t="s">
        <v>474</v>
      </c>
      <c r="G31" t="s">
        <v>445</v>
      </c>
      <c r="H31">
        <v>40</v>
      </c>
      <c r="I31" t="s">
        <v>35</v>
      </c>
      <c r="J31" t="s">
        <v>455</v>
      </c>
      <c r="K31" t="s">
        <v>451</v>
      </c>
      <c r="L31">
        <v>6</v>
      </c>
      <c r="M31" t="s">
        <v>458</v>
      </c>
    </row>
    <row r="32" spans="1:13">
      <c r="A32" t="s">
        <v>556</v>
      </c>
      <c r="B32" s="18" t="str">
        <f>_xlfn.TEXTJOIN(",",TRUE,Scenario!$A$2:$A$11)</f>
        <v>Set57_ES001_MdlMom_M_6moBF_PFOA_4,Set57_ES002_MdlMom_M_6moBF_PFOA_10,Set57_ES003_MdlMom_M_6moBF_PFOA_20,Set57_ES004_MdlMom_M_6moBF_PFOA_30,Set57_ES005_MdlMom_M_6moBF_PFOA_40,Set57_ES006_MdlMom_M_6moBF_PFOA_50,Set57_ES007_MdlMom_M_6moBF_PFOA_60,Set57_ES008_MdlMom_M_6moBF_PFOA_70,Set57_ES009_MdlMom_M_6moBF_PFOA_80,Set57_ES010_MdlMom_M_6moBF_PFOA_90</v>
      </c>
      <c r="C32" t="s">
        <v>304</v>
      </c>
      <c r="D32">
        <v>20</v>
      </c>
      <c r="E32">
        <v>75</v>
      </c>
      <c r="F32" s="14" t="s">
        <v>456</v>
      </c>
      <c r="G32" t="s">
        <v>445</v>
      </c>
      <c r="H32">
        <v>70</v>
      </c>
      <c r="I32" t="s">
        <v>3</v>
      </c>
      <c r="J32" t="s">
        <v>455</v>
      </c>
      <c r="K32" t="s">
        <v>451</v>
      </c>
      <c r="L32">
        <v>6</v>
      </c>
      <c r="M32" t="s">
        <v>458</v>
      </c>
    </row>
    <row r="33" spans="1:13">
      <c r="A33" t="s">
        <v>557</v>
      </c>
      <c r="B33" s="18" t="str">
        <f>_xlfn.TEXTJOIN(",",TRUE,Scenario!$A$12:$A$21)</f>
        <v>Set57_ES011_MdlMom_M_6moBF_PFOS_4,Set57_ES012_MdlMom_M_6moBF_PFOS_10,Set57_ES013_MdlMom_M_6moBF_PFOS_20,Set57_ES014_MdlMom_M_6moBF_PFOS_30,Set57_ES015_MdlMom_M_6moBF_PFOS_40,Set57_ES016_MdlMom_M_6moBF_PFOS_50,Set57_ES017_MdlMom_M_6moBF_PFOS_60,Set57_ES018_MdlMom_M_6moBF_PFOS_70,Set57_ES019_MdlMom_M_6moBF_PFOS_80,Set57_ES020_MdlMom_M_6moBF_PFOS_90</v>
      </c>
      <c r="C33" t="s">
        <v>304</v>
      </c>
      <c r="D33">
        <v>20</v>
      </c>
      <c r="E33">
        <v>75</v>
      </c>
      <c r="F33" s="14" t="s">
        <v>456</v>
      </c>
      <c r="G33" t="s">
        <v>445</v>
      </c>
      <c r="H33">
        <v>70</v>
      </c>
      <c r="I33" t="s">
        <v>4</v>
      </c>
      <c r="J33" t="s">
        <v>455</v>
      </c>
      <c r="K33" t="s">
        <v>451</v>
      </c>
      <c r="L33">
        <v>6</v>
      </c>
      <c r="M33" t="s">
        <v>458</v>
      </c>
    </row>
    <row r="34" spans="1:13">
      <c r="A34" t="s">
        <v>558</v>
      </c>
      <c r="B34" s="18" t="str">
        <f>_xlfn.TEXTJOIN(",",TRUE,Scenario!$A$22:$A$31)</f>
        <v>Set57_ES021_MdlMom_M_6moBF_PFHxS_4,Set57_ES022_MdlMom_M_6moBF_PFHxS_10,Set57_ES023_MdlMom_M_6moBF_PFHxS_20,Set57_ES024_MdlMom_M_6moBF_PFHxS_30,Set57_ES025_MdlMom_M_6moBF_PFHxS_40,Set57_ES026_MdlMom_M_6moBF_PFHxS_50,Set57_ES027_MdlMom_M_6moBF_PFHxS_60,Set57_ES028_MdlMom_M_6moBF_PFHxS_70,Set57_ES029_MdlMom_M_6moBF_PFHxS_80,Set57_ES030_MdlMom_M_6moBF_PFHxS_90</v>
      </c>
      <c r="C34" t="s">
        <v>304</v>
      </c>
      <c r="D34">
        <v>20</v>
      </c>
      <c r="E34">
        <v>75</v>
      </c>
      <c r="F34" s="14" t="s">
        <v>456</v>
      </c>
      <c r="G34" t="s">
        <v>445</v>
      </c>
      <c r="H34">
        <v>70</v>
      </c>
      <c r="I34" t="s">
        <v>6</v>
      </c>
      <c r="J34" t="s">
        <v>455</v>
      </c>
      <c r="K34" t="s">
        <v>451</v>
      </c>
      <c r="L34">
        <v>6</v>
      </c>
      <c r="M34" t="s">
        <v>458</v>
      </c>
    </row>
    <row r="35" spans="1:13">
      <c r="A35" t="s">
        <v>559</v>
      </c>
      <c r="B35" s="18" t="str">
        <f>_xlfn.TEXTJOIN(",",TRUE,Scenario!$A$32:$A$41)</f>
        <v>Set57_ES031_MdlMom_M_6moBF_PFNA_4,Set57_ES032_MdlMom_M_6moBF_PFNA_10,Set57_ES033_MdlMom_M_6moBF_PFNA_20,Set57_ES034_MdlMom_M_6moBF_PFNA_30,Set57_ES035_MdlMom_M_6moBF_PFNA_40,Set57_ES036_MdlMom_M_6moBF_PFNA_50,Set57_ES037_MdlMom_M_6moBF_PFNA_60,Set57_ES038_MdlMom_M_6moBF_PFNA_70,Set57_ES039_MdlMom_M_6moBF_PFNA_80,Set57_ES040_MdlMom_M_6moBF_PFNA_90</v>
      </c>
      <c r="C35" t="s">
        <v>304</v>
      </c>
      <c r="D35">
        <v>20</v>
      </c>
      <c r="E35">
        <v>75</v>
      </c>
      <c r="F35" s="14" t="s">
        <v>456</v>
      </c>
      <c r="G35" t="s">
        <v>445</v>
      </c>
      <c r="H35">
        <v>70</v>
      </c>
      <c r="I35" t="s">
        <v>5</v>
      </c>
      <c r="J35" t="s">
        <v>455</v>
      </c>
      <c r="K35" t="s">
        <v>451</v>
      </c>
      <c r="L35">
        <v>6</v>
      </c>
      <c r="M35" t="s">
        <v>458</v>
      </c>
    </row>
    <row r="36" spans="1:13">
      <c r="A36" t="s">
        <v>560</v>
      </c>
      <c r="B36" s="18" t="str">
        <f>_xlfn.TEXTJOIN(",",TRUE,Scenario!$A$42:$A$51)</f>
        <v>Set57_ES041_MdlMom_M_6moBF_PFDA_4,Set57_ES042_MdlMom_M_6moBF_PFDA_10,Set57_ES043_MdlMom_M_6moBF_PFDA_20,Set57_ES044_MdlMom_M_6moBF_PFDA_30,Set57_ES045_MdlMom_M_6moBF_PFDA_40,Set57_ES046_MdlMom_M_6moBF_PFDA_50,Set57_ES047_MdlMom_M_6moBF_PFDA_60,Set57_ES048_MdlMom_M_6moBF_PFDA_70,Set57_ES049_MdlMom_M_6moBF_PFDA_80,Set57_ES050_MdlMom_M_6moBF_PFDA_90</v>
      </c>
      <c r="C36" t="s">
        <v>304</v>
      </c>
      <c r="D36">
        <v>20</v>
      </c>
      <c r="E36">
        <v>75</v>
      </c>
      <c r="F36" s="14" t="s">
        <v>456</v>
      </c>
      <c r="G36" t="s">
        <v>445</v>
      </c>
      <c r="H36">
        <v>70</v>
      </c>
      <c r="I36" t="s">
        <v>36</v>
      </c>
      <c r="J36" t="s">
        <v>455</v>
      </c>
      <c r="K36" t="s">
        <v>451</v>
      </c>
      <c r="L36">
        <v>6</v>
      </c>
      <c r="M36" t="s">
        <v>458</v>
      </c>
    </row>
    <row r="37" spans="1:13">
      <c r="A37" t="s">
        <v>561</v>
      </c>
      <c r="B37" s="18" t="str">
        <f>_xlfn.TEXTJOIN(",",TRUE,Scenario!$A$52:$A$61)</f>
        <v>Set57_ES051_MdlMom_M_6moBF_PFHpA_4,Set57_ES052_MdlMom_M_6moBF_PFHpA_10,Set57_ES053_MdlMom_M_6moBF_PFHpA_20,Set57_ES054_MdlMom_M_6moBF_PFHpA_30,Set57_ES055_MdlMom_M_6moBF_PFHpA_40,Set57_ES056_MdlMom_M_6moBF_PFHpA_50,Set57_ES057_MdlMom_M_6moBF_PFHpA_60,Set57_ES058_MdlMom_M_6moBF_PFHpA_70,Set57_ES059_MdlMom_M_6moBF_PFHpA_80,Set57_ES060_MdlMom_M_6moBF_PFHpA_90</v>
      </c>
      <c r="C37" t="s">
        <v>304</v>
      </c>
      <c r="D37">
        <v>20</v>
      </c>
      <c r="E37">
        <v>75</v>
      </c>
      <c r="F37" s="14" t="s">
        <v>456</v>
      </c>
      <c r="G37" t="s">
        <v>445</v>
      </c>
      <c r="H37">
        <v>70</v>
      </c>
      <c r="I37" t="s">
        <v>35</v>
      </c>
      <c r="J37" t="s">
        <v>455</v>
      </c>
      <c r="K37" t="s">
        <v>451</v>
      </c>
      <c r="L37">
        <v>6</v>
      </c>
      <c r="M37" t="s">
        <v>458</v>
      </c>
    </row>
    <row r="38" spans="1:13">
      <c r="A38" t="s">
        <v>562</v>
      </c>
      <c r="B38" s="18" t="str">
        <f>_xlfn.TEXTJOIN(",",TRUE,Scenario!$A$2:$A$11)</f>
        <v>Set57_ES001_MdlMom_M_6moBF_PFOA_4,Set57_ES002_MdlMom_M_6moBF_PFOA_10,Set57_ES003_MdlMom_M_6moBF_PFOA_20,Set57_ES004_MdlMom_M_6moBF_PFOA_30,Set57_ES005_MdlMom_M_6moBF_PFOA_40,Set57_ES006_MdlMom_M_6moBF_PFOA_50,Set57_ES007_MdlMom_M_6moBF_PFOA_60,Set57_ES008_MdlMom_M_6moBF_PFOA_70,Set57_ES009_MdlMom_M_6moBF_PFOA_80,Set57_ES010_MdlMom_M_6moBF_PFOA_90</v>
      </c>
      <c r="C38" t="s">
        <v>304</v>
      </c>
      <c r="D38">
        <v>20</v>
      </c>
      <c r="E38">
        <v>50</v>
      </c>
      <c r="F38" s="14" t="s">
        <v>454</v>
      </c>
      <c r="G38" t="s">
        <v>445</v>
      </c>
      <c r="H38">
        <v>0.5</v>
      </c>
      <c r="I38" t="s">
        <v>3</v>
      </c>
      <c r="J38" t="s">
        <v>455</v>
      </c>
      <c r="K38" t="s">
        <v>451</v>
      </c>
      <c r="L38">
        <v>6</v>
      </c>
      <c r="M38" t="s">
        <v>458</v>
      </c>
    </row>
    <row r="39" spans="1:13">
      <c r="A39" t="s">
        <v>563</v>
      </c>
      <c r="B39" s="18" t="str">
        <f>_xlfn.TEXTJOIN(",",TRUE,Scenario!$A$12:$A$21)</f>
        <v>Set57_ES011_MdlMom_M_6moBF_PFOS_4,Set57_ES012_MdlMom_M_6moBF_PFOS_10,Set57_ES013_MdlMom_M_6moBF_PFOS_20,Set57_ES014_MdlMom_M_6moBF_PFOS_30,Set57_ES015_MdlMom_M_6moBF_PFOS_40,Set57_ES016_MdlMom_M_6moBF_PFOS_50,Set57_ES017_MdlMom_M_6moBF_PFOS_60,Set57_ES018_MdlMom_M_6moBF_PFOS_70,Set57_ES019_MdlMom_M_6moBF_PFOS_80,Set57_ES020_MdlMom_M_6moBF_PFOS_90</v>
      </c>
      <c r="C39" t="s">
        <v>304</v>
      </c>
      <c r="D39">
        <v>20</v>
      </c>
      <c r="E39">
        <v>50</v>
      </c>
      <c r="F39" s="14" t="s">
        <v>454</v>
      </c>
      <c r="G39" t="s">
        <v>445</v>
      </c>
      <c r="H39">
        <v>0.5</v>
      </c>
      <c r="I39" t="s">
        <v>4</v>
      </c>
      <c r="J39" t="s">
        <v>455</v>
      </c>
      <c r="K39" t="s">
        <v>451</v>
      </c>
      <c r="L39">
        <v>6</v>
      </c>
      <c r="M39" t="s">
        <v>458</v>
      </c>
    </row>
    <row r="40" spans="1:13">
      <c r="A40" t="s">
        <v>564</v>
      </c>
      <c r="B40" s="18" t="str">
        <f>_xlfn.TEXTJOIN(",",TRUE,Scenario!$A$22:$A$31)</f>
        <v>Set57_ES021_MdlMom_M_6moBF_PFHxS_4,Set57_ES022_MdlMom_M_6moBF_PFHxS_10,Set57_ES023_MdlMom_M_6moBF_PFHxS_20,Set57_ES024_MdlMom_M_6moBF_PFHxS_30,Set57_ES025_MdlMom_M_6moBF_PFHxS_40,Set57_ES026_MdlMom_M_6moBF_PFHxS_50,Set57_ES027_MdlMom_M_6moBF_PFHxS_60,Set57_ES028_MdlMom_M_6moBF_PFHxS_70,Set57_ES029_MdlMom_M_6moBF_PFHxS_80,Set57_ES030_MdlMom_M_6moBF_PFHxS_90</v>
      </c>
      <c r="C40" t="s">
        <v>304</v>
      </c>
      <c r="D40">
        <v>20</v>
      </c>
      <c r="E40">
        <v>50</v>
      </c>
      <c r="F40" s="14" t="s">
        <v>454</v>
      </c>
      <c r="G40" t="s">
        <v>445</v>
      </c>
      <c r="H40">
        <v>0.5</v>
      </c>
      <c r="I40" t="s">
        <v>6</v>
      </c>
      <c r="J40" t="s">
        <v>455</v>
      </c>
      <c r="K40" t="s">
        <v>451</v>
      </c>
      <c r="L40">
        <v>6</v>
      </c>
      <c r="M40" t="s">
        <v>458</v>
      </c>
    </row>
    <row r="41" spans="1:13">
      <c r="A41" t="s">
        <v>565</v>
      </c>
      <c r="B41" s="18" t="str">
        <f>_xlfn.TEXTJOIN(",",TRUE,Scenario!$A$32:$A$41)</f>
        <v>Set57_ES031_MdlMom_M_6moBF_PFNA_4,Set57_ES032_MdlMom_M_6moBF_PFNA_10,Set57_ES033_MdlMom_M_6moBF_PFNA_20,Set57_ES034_MdlMom_M_6moBF_PFNA_30,Set57_ES035_MdlMom_M_6moBF_PFNA_40,Set57_ES036_MdlMom_M_6moBF_PFNA_50,Set57_ES037_MdlMom_M_6moBF_PFNA_60,Set57_ES038_MdlMom_M_6moBF_PFNA_70,Set57_ES039_MdlMom_M_6moBF_PFNA_80,Set57_ES040_MdlMom_M_6moBF_PFNA_90</v>
      </c>
      <c r="C41" t="s">
        <v>304</v>
      </c>
      <c r="D41">
        <v>20</v>
      </c>
      <c r="E41">
        <v>50</v>
      </c>
      <c r="F41" s="14" t="s">
        <v>454</v>
      </c>
      <c r="G41" t="s">
        <v>445</v>
      </c>
      <c r="H41">
        <v>0.5</v>
      </c>
      <c r="I41" t="s">
        <v>5</v>
      </c>
      <c r="J41" t="s">
        <v>455</v>
      </c>
      <c r="K41" t="s">
        <v>451</v>
      </c>
      <c r="L41">
        <v>6</v>
      </c>
      <c r="M41" t="s">
        <v>458</v>
      </c>
    </row>
    <row r="42" spans="1:13">
      <c r="A42" t="s">
        <v>566</v>
      </c>
      <c r="B42" s="18" t="str">
        <f>_xlfn.TEXTJOIN(",",TRUE,Scenario!$A$42:$A$51)</f>
        <v>Set57_ES041_MdlMom_M_6moBF_PFDA_4,Set57_ES042_MdlMom_M_6moBF_PFDA_10,Set57_ES043_MdlMom_M_6moBF_PFDA_20,Set57_ES044_MdlMom_M_6moBF_PFDA_30,Set57_ES045_MdlMom_M_6moBF_PFDA_40,Set57_ES046_MdlMom_M_6moBF_PFDA_50,Set57_ES047_MdlMom_M_6moBF_PFDA_60,Set57_ES048_MdlMom_M_6moBF_PFDA_70,Set57_ES049_MdlMom_M_6moBF_PFDA_80,Set57_ES050_MdlMom_M_6moBF_PFDA_90</v>
      </c>
      <c r="C42" t="s">
        <v>304</v>
      </c>
      <c r="D42">
        <v>20</v>
      </c>
      <c r="E42">
        <v>50</v>
      </c>
      <c r="F42" s="14" t="s">
        <v>454</v>
      </c>
      <c r="G42" t="s">
        <v>445</v>
      </c>
      <c r="H42">
        <v>0.5</v>
      </c>
      <c r="I42" t="s">
        <v>36</v>
      </c>
      <c r="J42" t="s">
        <v>455</v>
      </c>
      <c r="K42" t="s">
        <v>451</v>
      </c>
      <c r="L42">
        <v>6</v>
      </c>
      <c r="M42" t="s">
        <v>458</v>
      </c>
    </row>
    <row r="43" spans="1:13">
      <c r="A43" t="s">
        <v>567</v>
      </c>
      <c r="B43" s="18" t="str">
        <f>_xlfn.TEXTJOIN(",",TRUE,Scenario!$A$52:$A$61)</f>
        <v>Set57_ES051_MdlMom_M_6moBF_PFHpA_4,Set57_ES052_MdlMom_M_6moBF_PFHpA_10,Set57_ES053_MdlMom_M_6moBF_PFHpA_20,Set57_ES054_MdlMom_M_6moBF_PFHpA_30,Set57_ES055_MdlMom_M_6moBF_PFHpA_40,Set57_ES056_MdlMom_M_6moBF_PFHpA_50,Set57_ES057_MdlMom_M_6moBF_PFHpA_60,Set57_ES058_MdlMom_M_6moBF_PFHpA_70,Set57_ES059_MdlMom_M_6moBF_PFHpA_80,Set57_ES060_MdlMom_M_6moBF_PFHpA_90</v>
      </c>
      <c r="C43" t="s">
        <v>304</v>
      </c>
      <c r="D43">
        <v>20</v>
      </c>
      <c r="E43">
        <v>50</v>
      </c>
      <c r="F43" s="14" t="s">
        <v>454</v>
      </c>
      <c r="G43" t="s">
        <v>445</v>
      </c>
      <c r="H43">
        <v>0.5</v>
      </c>
      <c r="I43" t="s">
        <v>35</v>
      </c>
      <c r="J43" t="s">
        <v>455</v>
      </c>
      <c r="K43" t="s">
        <v>451</v>
      </c>
      <c r="L43">
        <v>6</v>
      </c>
      <c r="M43" t="s">
        <v>458</v>
      </c>
    </row>
    <row r="44" spans="1:13">
      <c r="A44" t="s">
        <v>568</v>
      </c>
      <c r="B44" s="18" t="str">
        <f>_xlfn.TEXTJOIN(",",TRUE,Scenario!$A$2:$A$11)</f>
        <v>Set57_ES001_MdlMom_M_6moBF_PFOA_4,Set57_ES002_MdlMom_M_6moBF_PFOA_10,Set57_ES003_MdlMom_M_6moBF_PFOA_20,Set57_ES004_MdlMom_M_6moBF_PFOA_30,Set57_ES005_MdlMom_M_6moBF_PFOA_40,Set57_ES006_MdlMom_M_6moBF_PFOA_50,Set57_ES007_MdlMom_M_6moBF_PFOA_60,Set57_ES008_MdlMom_M_6moBF_PFOA_70,Set57_ES009_MdlMom_M_6moBF_PFOA_80,Set57_ES010_MdlMom_M_6moBF_PFOA_90</v>
      </c>
      <c r="C44" t="s">
        <v>304</v>
      </c>
      <c r="D44">
        <v>20</v>
      </c>
      <c r="E44">
        <v>50</v>
      </c>
      <c r="F44" s="14" t="s">
        <v>474</v>
      </c>
      <c r="G44" t="s">
        <v>445</v>
      </c>
      <c r="H44">
        <v>40</v>
      </c>
      <c r="I44" t="s">
        <v>3</v>
      </c>
      <c r="J44" t="s">
        <v>455</v>
      </c>
      <c r="K44" t="s">
        <v>451</v>
      </c>
      <c r="L44">
        <v>6</v>
      </c>
      <c r="M44" t="s">
        <v>458</v>
      </c>
    </row>
    <row r="45" spans="1:13">
      <c r="A45" t="s">
        <v>569</v>
      </c>
      <c r="B45" s="18" t="str">
        <f>_xlfn.TEXTJOIN(",",TRUE,Scenario!$A$12:$A$21)</f>
        <v>Set57_ES011_MdlMom_M_6moBF_PFOS_4,Set57_ES012_MdlMom_M_6moBF_PFOS_10,Set57_ES013_MdlMom_M_6moBF_PFOS_20,Set57_ES014_MdlMom_M_6moBF_PFOS_30,Set57_ES015_MdlMom_M_6moBF_PFOS_40,Set57_ES016_MdlMom_M_6moBF_PFOS_50,Set57_ES017_MdlMom_M_6moBF_PFOS_60,Set57_ES018_MdlMom_M_6moBF_PFOS_70,Set57_ES019_MdlMom_M_6moBF_PFOS_80,Set57_ES020_MdlMom_M_6moBF_PFOS_90</v>
      </c>
      <c r="C45" t="s">
        <v>304</v>
      </c>
      <c r="D45">
        <v>20</v>
      </c>
      <c r="E45">
        <v>50</v>
      </c>
      <c r="F45" s="14" t="s">
        <v>474</v>
      </c>
      <c r="G45" t="s">
        <v>445</v>
      </c>
      <c r="H45">
        <v>40</v>
      </c>
      <c r="I45" t="s">
        <v>4</v>
      </c>
      <c r="J45" t="s">
        <v>455</v>
      </c>
      <c r="K45" t="s">
        <v>451</v>
      </c>
      <c r="L45">
        <v>6</v>
      </c>
      <c r="M45" t="s">
        <v>458</v>
      </c>
    </row>
    <row r="46" spans="1:13">
      <c r="A46" t="s">
        <v>570</v>
      </c>
      <c r="B46" s="18" t="str">
        <f>_xlfn.TEXTJOIN(",",TRUE,Scenario!$A$22:$A$31)</f>
        <v>Set57_ES021_MdlMom_M_6moBF_PFHxS_4,Set57_ES022_MdlMom_M_6moBF_PFHxS_10,Set57_ES023_MdlMom_M_6moBF_PFHxS_20,Set57_ES024_MdlMom_M_6moBF_PFHxS_30,Set57_ES025_MdlMom_M_6moBF_PFHxS_40,Set57_ES026_MdlMom_M_6moBF_PFHxS_50,Set57_ES027_MdlMom_M_6moBF_PFHxS_60,Set57_ES028_MdlMom_M_6moBF_PFHxS_70,Set57_ES029_MdlMom_M_6moBF_PFHxS_80,Set57_ES030_MdlMom_M_6moBF_PFHxS_90</v>
      </c>
      <c r="C46" t="s">
        <v>304</v>
      </c>
      <c r="D46">
        <v>20</v>
      </c>
      <c r="E46">
        <v>50</v>
      </c>
      <c r="F46" s="14" t="s">
        <v>474</v>
      </c>
      <c r="G46" t="s">
        <v>445</v>
      </c>
      <c r="H46">
        <v>40</v>
      </c>
      <c r="I46" t="s">
        <v>6</v>
      </c>
      <c r="J46" t="s">
        <v>455</v>
      </c>
      <c r="K46" t="s">
        <v>451</v>
      </c>
      <c r="L46">
        <v>6</v>
      </c>
      <c r="M46" t="s">
        <v>458</v>
      </c>
    </row>
    <row r="47" spans="1:13">
      <c r="A47" t="s">
        <v>571</v>
      </c>
      <c r="B47" s="18" t="str">
        <f>_xlfn.TEXTJOIN(",",TRUE,Scenario!$A$32:$A$41)</f>
        <v>Set57_ES031_MdlMom_M_6moBF_PFNA_4,Set57_ES032_MdlMom_M_6moBF_PFNA_10,Set57_ES033_MdlMom_M_6moBF_PFNA_20,Set57_ES034_MdlMom_M_6moBF_PFNA_30,Set57_ES035_MdlMom_M_6moBF_PFNA_40,Set57_ES036_MdlMom_M_6moBF_PFNA_50,Set57_ES037_MdlMom_M_6moBF_PFNA_60,Set57_ES038_MdlMom_M_6moBF_PFNA_70,Set57_ES039_MdlMom_M_6moBF_PFNA_80,Set57_ES040_MdlMom_M_6moBF_PFNA_90</v>
      </c>
      <c r="C47" t="s">
        <v>304</v>
      </c>
      <c r="D47">
        <v>20</v>
      </c>
      <c r="E47">
        <v>50</v>
      </c>
      <c r="F47" s="14" t="s">
        <v>474</v>
      </c>
      <c r="G47" t="s">
        <v>445</v>
      </c>
      <c r="H47">
        <v>40</v>
      </c>
      <c r="I47" t="s">
        <v>5</v>
      </c>
      <c r="J47" t="s">
        <v>455</v>
      </c>
      <c r="K47" t="s">
        <v>451</v>
      </c>
      <c r="L47">
        <v>6</v>
      </c>
      <c r="M47" t="s">
        <v>458</v>
      </c>
    </row>
    <row r="48" spans="1:13">
      <c r="A48" t="s">
        <v>572</v>
      </c>
      <c r="B48" s="18" t="str">
        <f>_xlfn.TEXTJOIN(",",TRUE,Scenario!$A$42:$A$51)</f>
        <v>Set57_ES041_MdlMom_M_6moBF_PFDA_4,Set57_ES042_MdlMom_M_6moBF_PFDA_10,Set57_ES043_MdlMom_M_6moBF_PFDA_20,Set57_ES044_MdlMom_M_6moBF_PFDA_30,Set57_ES045_MdlMom_M_6moBF_PFDA_40,Set57_ES046_MdlMom_M_6moBF_PFDA_50,Set57_ES047_MdlMom_M_6moBF_PFDA_60,Set57_ES048_MdlMom_M_6moBF_PFDA_70,Set57_ES049_MdlMom_M_6moBF_PFDA_80,Set57_ES050_MdlMom_M_6moBF_PFDA_90</v>
      </c>
      <c r="C48" t="s">
        <v>304</v>
      </c>
      <c r="D48">
        <v>20</v>
      </c>
      <c r="E48">
        <v>50</v>
      </c>
      <c r="F48" s="14" t="s">
        <v>474</v>
      </c>
      <c r="G48" t="s">
        <v>445</v>
      </c>
      <c r="H48">
        <v>40</v>
      </c>
      <c r="I48" t="s">
        <v>36</v>
      </c>
      <c r="J48" t="s">
        <v>455</v>
      </c>
      <c r="K48" t="s">
        <v>451</v>
      </c>
      <c r="L48">
        <v>6</v>
      </c>
      <c r="M48" t="s">
        <v>458</v>
      </c>
    </row>
    <row r="49" spans="1:13">
      <c r="A49" t="s">
        <v>573</v>
      </c>
      <c r="B49" s="18" t="str">
        <f>_xlfn.TEXTJOIN(",",TRUE,Scenario!$A$52:$A$61)</f>
        <v>Set57_ES051_MdlMom_M_6moBF_PFHpA_4,Set57_ES052_MdlMom_M_6moBF_PFHpA_10,Set57_ES053_MdlMom_M_6moBF_PFHpA_20,Set57_ES054_MdlMom_M_6moBF_PFHpA_30,Set57_ES055_MdlMom_M_6moBF_PFHpA_40,Set57_ES056_MdlMom_M_6moBF_PFHpA_50,Set57_ES057_MdlMom_M_6moBF_PFHpA_60,Set57_ES058_MdlMom_M_6moBF_PFHpA_70,Set57_ES059_MdlMom_M_6moBF_PFHpA_80,Set57_ES060_MdlMom_M_6moBF_PFHpA_90</v>
      </c>
      <c r="C49" t="s">
        <v>304</v>
      </c>
      <c r="D49">
        <v>20</v>
      </c>
      <c r="E49">
        <v>50</v>
      </c>
      <c r="F49" s="14" t="s">
        <v>474</v>
      </c>
      <c r="G49" t="s">
        <v>445</v>
      </c>
      <c r="H49">
        <v>40</v>
      </c>
      <c r="I49" t="s">
        <v>35</v>
      </c>
      <c r="J49" t="s">
        <v>455</v>
      </c>
      <c r="K49" t="s">
        <v>451</v>
      </c>
      <c r="L49">
        <v>6</v>
      </c>
      <c r="M49" t="s">
        <v>458</v>
      </c>
    </row>
    <row r="50" spans="1:13">
      <c r="A50" t="s">
        <v>574</v>
      </c>
      <c r="B50" s="18" t="str">
        <f>_xlfn.TEXTJOIN(",",TRUE,Scenario!$A$2:$A$11)</f>
        <v>Set57_ES001_MdlMom_M_6moBF_PFOA_4,Set57_ES002_MdlMom_M_6moBF_PFOA_10,Set57_ES003_MdlMom_M_6moBF_PFOA_20,Set57_ES004_MdlMom_M_6moBF_PFOA_30,Set57_ES005_MdlMom_M_6moBF_PFOA_40,Set57_ES006_MdlMom_M_6moBF_PFOA_50,Set57_ES007_MdlMom_M_6moBF_PFOA_60,Set57_ES008_MdlMom_M_6moBF_PFOA_70,Set57_ES009_MdlMom_M_6moBF_PFOA_80,Set57_ES010_MdlMom_M_6moBF_PFOA_90</v>
      </c>
      <c r="C50" t="s">
        <v>304</v>
      </c>
      <c r="D50">
        <v>20</v>
      </c>
      <c r="E50">
        <v>50</v>
      </c>
      <c r="F50" s="14" t="s">
        <v>456</v>
      </c>
      <c r="G50" t="s">
        <v>445</v>
      </c>
      <c r="H50">
        <v>70</v>
      </c>
      <c r="I50" t="s">
        <v>3</v>
      </c>
      <c r="J50" t="s">
        <v>455</v>
      </c>
      <c r="K50" t="s">
        <v>451</v>
      </c>
      <c r="L50">
        <v>6</v>
      </c>
      <c r="M50" t="s">
        <v>458</v>
      </c>
    </row>
    <row r="51" spans="1:13">
      <c r="A51" t="s">
        <v>575</v>
      </c>
      <c r="B51" s="18" t="str">
        <f>_xlfn.TEXTJOIN(",",TRUE,Scenario!$A$12:$A$21)</f>
        <v>Set57_ES011_MdlMom_M_6moBF_PFOS_4,Set57_ES012_MdlMom_M_6moBF_PFOS_10,Set57_ES013_MdlMom_M_6moBF_PFOS_20,Set57_ES014_MdlMom_M_6moBF_PFOS_30,Set57_ES015_MdlMom_M_6moBF_PFOS_40,Set57_ES016_MdlMom_M_6moBF_PFOS_50,Set57_ES017_MdlMom_M_6moBF_PFOS_60,Set57_ES018_MdlMom_M_6moBF_PFOS_70,Set57_ES019_MdlMom_M_6moBF_PFOS_80,Set57_ES020_MdlMom_M_6moBF_PFOS_90</v>
      </c>
      <c r="C51" t="s">
        <v>304</v>
      </c>
      <c r="D51">
        <v>20</v>
      </c>
      <c r="E51">
        <v>50</v>
      </c>
      <c r="F51" s="14" t="s">
        <v>456</v>
      </c>
      <c r="G51" t="s">
        <v>445</v>
      </c>
      <c r="H51">
        <v>70</v>
      </c>
      <c r="I51" t="s">
        <v>4</v>
      </c>
      <c r="J51" t="s">
        <v>455</v>
      </c>
      <c r="K51" t="s">
        <v>451</v>
      </c>
      <c r="L51">
        <v>6</v>
      </c>
      <c r="M51" t="s">
        <v>458</v>
      </c>
    </row>
    <row r="52" spans="1:13">
      <c r="A52" t="s">
        <v>576</v>
      </c>
      <c r="B52" s="18" t="str">
        <f>_xlfn.TEXTJOIN(",",TRUE,Scenario!$A$22:$A$31)</f>
        <v>Set57_ES021_MdlMom_M_6moBF_PFHxS_4,Set57_ES022_MdlMom_M_6moBF_PFHxS_10,Set57_ES023_MdlMom_M_6moBF_PFHxS_20,Set57_ES024_MdlMom_M_6moBF_PFHxS_30,Set57_ES025_MdlMom_M_6moBF_PFHxS_40,Set57_ES026_MdlMom_M_6moBF_PFHxS_50,Set57_ES027_MdlMom_M_6moBF_PFHxS_60,Set57_ES028_MdlMom_M_6moBF_PFHxS_70,Set57_ES029_MdlMom_M_6moBF_PFHxS_80,Set57_ES030_MdlMom_M_6moBF_PFHxS_90</v>
      </c>
      <c r="C52" t="s">
        <v>304</v>
      </c>
      <c r="D52">
        <v>20</v>
      </c>
      <c r="E52">
        <v>50</v>
      </c>
      <c r="F52" s="14" t="s">
        <v>456</v>
      </c>
      <c r="G52" t="s">
        <v>445</v>
      </c>
      <c r="H52">
        <v>70</v>
      </c>
      <c r="I52" t="s">
        <v>6</v>
      </c>
      <c r="J52" t="s">
        <v>455</v>
      </c>
      <c r="K52" t="s">
        <v>451</v>
      </c>
      <c r="L52">
        <v>6</v>
      </c>
      <c r="M52" t="s">
        <v>458</v>
      </c>
    </row>
    <row r="53" spans="1:13">
      <c r="A53" t="s">
        <v>577</v>
      </c>
      <c r="B53" s="18" t="str">
        <f>_xlfn.TEXTJOIN(",",TRUE,Scenario!$A$32:$A$41)</f>
        <v>Set57_ES031_MdlMom_M_6moBF_PFNA_4,Set57_ES032_MdlMom_M_6moBF_PFNA_10,Set57_ES033_MdlMom_M_6moBF_PFNA_20,Set57_ES034_MdlMom_M_6moBF_PFNA_30,Set57_ES035_MdlMom_M_6moBF_PFNA_40,Set57_ES036_MdlMom_M_6moBF_PFNA_50,Set57_ES037_MdlMom_M_6moBF_PFNA_60,Set57_ES038_MdlMom_M_6moBF_PFNA_70,Set57_ES039_MdlMom_M_6moBF_PFNA_80,Set57_ES040_MdlMom_M_6moBF_PFNA_90</v>
      </c>
      <c r="C53" t="s">
        <v>304</v>
      </c>
      <c r="D53">
        <v>20</v>
      </c>
      <c r="E53">
        <v>50</v>
      </c>
      <c r="F53" s="14" t="s">
        <v>456</v>
      </c>
      <c r="G53" t="s">
        <v>445</v>
      </c>
      <c r="H53">
        <v>70</v>
      </c>
      <c r="I53" t="s">
        <v>5</v>
      </c>
      <c r="J53" t="s">
        <v>455</v>
      </c>
      <c r="K53" t="s">
        <v>451</v>
      </c>
      <c r="L53">
        <v>6</v>
      </c>
      <c r="M53" t="s">
        <v>458</v>
      </c>
    </row>
    <row r="54" spans="1:13">
      <c r="A54" t="s">
        <v>578</v>
      </c>
      <c r="B54" s="18" t="str">
        <f>_xlfn.TEXTJOIN(",",TRUE,Scenario!$A$42:$A$51)</f>
        <v>Set57_ES041_MdlMom_M_6moBF_PFDA_4,Set57_ES042_MdlMom_M_6moBF_PFDA_10,Set57_ES043_MdlMom_M_6moBF_PFDA_20,Set57_ES044_MdlMom_M_6moBF_PFDA_30,Set57_ES045_MdlMom_M_6moBF_PFDA_40,Set57_ES046_MdlMom_M_6moBF_PFDA_50,Set57_ES047_MdlMom_M_6moBF_PFDA_60,Set57_ES048_MdlMom_M_6moBF_PFDA_70,Set57_ES049_MdlMom_M_6moBF_PFDA_80,Set57_ES050_MdlMom_M_6moBF_PFDA_90</v>
      </c>
      <c r="C54" t="s">
        <v>304</v>
      </c>
      <c r="D54">
        <v>20</v>
      </c>
      <c r="E54">
        <v>50</v>
      </c>
      <c r="F54" s="14" t="s">
        <v>456</v>
      </c>
      <c r="G54" t="s">
        <v>445</v>
      </c>
      <c r="H54">
        <v>70</v>
      </c>
      <c r="I54" t="s">
        <v>36</v>
      </c>
      <c r="J54" t="s">
        <v>455</v>
      </c>
      <c r="K54" t="s">
        <v>451</v>
      </c>
      <c r="L54">
        <v>6</v>
      </c>
      <c r="M54" t="s">
        <v>458</v>
      </c>
    </row>
    <row r="55" spans="1:13">
      <c r="A55" t="s">
        <v>579</v>
      </c>
      <c r="B55" s="18" t="str">
        <f>_xlfn.TEXTJOIN(",",TRUE,Scenario!$A$52:$A$61)</f>
        <v>Set57_ES051_MdlMom_M_6moBF_PFHpA_4,Set57_ES052_MdlMom_M_6moBF_PFHpA_10,Set57_ES053_MdlMom_M_6moBF_PFHpA_20,Set57_ES054_MdlMom_M_6moBF_PFHpA_30,Set57_ES055_MdlMom_M_6moBF_PFHpA_40,Set57_ES056_MdlMom_M_6moBF_PFHpA_50,Set57_ES057_MdlMom_M_6moBF_PFHpA_60,Set57_ES058_MdlMom_M_6moBF_PFHpA_70,Set57_ES059_MdlMom_M_6moBF_PFHpA_80,Set57_ES060_MdlMom_M_6moBF_PFHpA_90</v>
      </c>
      <c r="C55" t="s">
        <v>304</v>
      </c>
      <c r="D55">
        <v>20</v>
      </c>
      <c r="E55">
        <v>50</v>
      </c>
      <c r="F55" s="14" t="s">
        <v>456</v>
      </c>
      <c r="G55" t="s">
        <v>445</v>
      </c>
      <c r="H55">
        <v>70</v>
      </c>
      <c r="I55" t="s">
        <v>35</v>
      </c>
      <c r="J55" t="s">
        <v>455</v>
      </c>
      <c r="K55" t="s">
        <v>451</v>
      </c>
      <c r="L55">
        <v>6</v>
      </c>
      <c r="M55" t="s">
        <v>458</v>
      </c>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F344F-7556-4B41-9FFD-C799F0BD6443}">
  <dimension ref="A1:P26"/>
  <sheetViews>
    <sheetView zoomScale="115" zoomScaleNormal="115" workbookViewId="0">
      <selection activeCell="C27" sqref="C27"/>
    </sheetView>
  </sheetViews>
  <sheetFormatPr defaultRowHeight="14.5"/>
  <cols>
    <col min="1" max="1" width="23.26953125" bestFit="1" customWidth="1"/>
    <col min="10" max="10" width="7.26953125" customWidth="1"/>
  </cols>
  <sheetData>
    <row r="1" spans="1:16">
      <c r="A1" t="s">
        <v>99</v>
      </c>
      <c r="B1" t="s">
        <v>98</v>
      </c>
      <c r="C1" t="s">
        <v>97</v>
      </c>
      <c r="D1" t="s">
        <v>96</v>
      </c>
      <c r="E1" t="s">
        <v>13</v>
      </c>
      <c r="F1" t="s">
        <v>101</v>
      </c>
      <c r="G1" t="s">
        <v>102</v>
      </c>
      <c r="H1" t="s">
        <v>103</v>
      </c>
    </row>
    <row r="2" spans="1:16">
      <c r="A2" t="s">
        <v>536</v>
      </c>
      <c r="B2" s="21">
        <v>0</v>
      </c>
      <c r="C2" s="21">
        <v>10</v>
      </c>
      <c r="D2" s="22">
        <v>0.10299999999999999</v>
      </c>
      <c r="E2" s="15" t="s">
        <v>100</v>
      </c>
      <c r="F2">
        <f>B2</f>
        <v>0</v>
      </c>
      <c r="G2">
        <f t="shared" ref="G2:G9" si="0">C2+1</f>
        <v>11</v>
      </c>
      <c r="H2" s="15"/>
      <c r="I2" s="15"/>
      <c r="K2" s="19"/>
    </row>
    <row r="3" spans="1:16">
      <c r="A3" t="s">
        <v>536</v>
      </c>
      <c r="B3" s="21">
        <v>11</v>
      </c>
      <c r="C3" s="22">
        <v>20</v>
      </c>
      <c r="D3" s="22">
        <v>0.10299999999999999</v>
      </c>
      <c r="E3" s="15" t="s">
        <v>100</v>
      </c>
      <c r="F3">
        <f t="shared" ref="F3:F9" si="1">B3</f>
        <v>11</v>
      </c>
      <c r="G3">
        <f t="shared" si="0"/>
        <v>21</v>
      </c>
      <c r="H3" s="15"/>
      <c r="I3" s="15"/>
      <c r="K3" s="19"/>
    </row>
    <row r="4" spans="1:16">
      <c r="A4" t="s">
        <v>536</v>
      </c>
      <c r="B4" s="21">
        <v>21</v>
      </c>
      <c r="C4" s="21">
        <v>30</v>
      </c>
      <c r="D4" s="22">
        <v>0.104</v>
      </c>
      <c r="E4" s="15" t="s">
        <v>100</v>
      </c>
      <c r="F4">
        <f t="shared" si="1"/>
        <v>21</v>
      </c>
      <c r="G4">
        <f t="shared" si="0"/>
        <v>31</v>
      </c>
      <c r="H4" s="15"/>
      <c r="K4" s="19"/>
    </row>
    <row r="5" spans="1:16">
      <c r="A5" t="s">
        <v>536</v>
      </c>
      <c r="B5" s="21">
        <v>31</v>
      </c>
      <c r="C5" s="21">
        <v>40</v>
      </c>
      <c r="D5" s="22">
        <v>0.14099999999999999</v>
      </c>
      <c r="E5" s="15" t="s">
        <v>100</v>
      </c>
      <c r="F5">
        <f t="shared" si="1"/>
        <v>31</v>
      </c>
      <c r="G5">
        <f t="shared" si="0"/>
        <v>41</v>
      </c>
      <c r="H5" s="15"/>
      <c r="K5" s="19"/>
    </row>
    <row r="6" spans="1:16">
      <c r="A6" t="s">
        <v>536</v>
      </c>
      <c r="B6" s="21">
        <v>41</v>
      </c>
      <c r="C6" s="21">
        <v>50</v>
      </c>
      <c r="D6" s="22">
        <v>0.187</v>
      </c>
      <c r="E6" s="15" t="s">
        <v>100</v>
      </c>
      <c r="F6">
        <f t="shared" si="1"/>
        <v>41</v>
      </c>
      <c r="G6">
        <f t="shared" si="0"/>
        <v>51</v>
      </c>
      <c r="H6" s="15"/>
      <c r="K6" s="19"/>
    </row>
    <row r="7" spans="1:16">
      <c r="A7" t="s">
        <v>536</v>
      </c>
      <c r="B7" s="21">
        <v>51</v>
      </c>
      <c r="C7" s="21">
        <v>60</v>
      </c>
      <c r="D7" s="22">
        <v>0.14299999999999999</v>
      </c>
      <c r="E7" s="15" t="s">
        <v>100</v>
      </c>
      <c r="F7">
        <f t="shared" si="1"/>
        <v>51</v>
      </c>
      <c r="G7">
        <f t="shared" si="0"/>
        <v>61</v>
      </c>
      <c r="H7" s="15"/>
      <c r="K7" s="19"/>
    </row>
    <row r="8" spans="1:16">
      <c r="A8" t="s">
        <v>536</v>
      </c>
      <c r="B8" s="21">
        <v>61</v>
      </c>
      <c r="C8" s="21">
        <v>70</v>
      </c>
      <c r="D8" s="22">
        <v>0.13900000000000001</v>
      </c>
      <c r="E8" s="15" t="s">
        <v>100</v>
      </c>
      <c r="F8">
        <f t="shared" si="1"/>
        <v>61</v>
      </c>
      <c r="G8">
        <f t="shared" si="0"/>
        <v>71</v>
      </c>
      <c r="H8" s="15"/>
      <c r="K8" s="19"/>
    </row>
    <row r="9" spans="1:16">
      <c r="A9" t="s">
        <v>536</v>
      </c>
      <c r="B9" s="21">
        <v>71</v>
      </c>
      <c r="C9" s="21">
        <v>99</v>
      </c>
      <c r="D9" s="22"/>
      <c r="E9" s="15" t="s">
        <v>104</v>
      </c>
      <c r="F9">
        <f t="shared" si="1"/>
        <v>71</v>
      </c>
      <c r="G9">
        <f t="shared" si="0"/>
        <v>100</v>
      </c>
      <c r="H9">
        <f>B9+0.1</f>
        <v>71.099999999999994</v>
      </c>
      <c r="K9" s="19"/>
    </row>
    <row r="10" spans="1:16">
      <c r="A10" t="s">
        <v>537</v>
      </c>
      <c r="B10" s="21">
        <v>5</v>
      </c>
      <c r="C10" s="21">
        <v>6</v>
      </c>
      <c r="D10" s="22">
        <v>1</v>
      </c>
      <c r="E10" s="15" t="s">
        <v>100</v>
      </c>
      <c r="F10">
        <f>B10</f>
        <v>5</v>
      </c>
      <c r="G10">
        <f>C10+1</f>
        <v>7</v>
      </c>
      <c r="H10" s="15"/>
      <c r="K10" s="19"/>
    </row>
    <row r="11" spans="1:16">
      <c r="A11" t="s">
        <v>538</v>
      </c>
      <c r="B11" s="21">
        <v>23</v>
      </c>
      <c r="C11" s="21">
        <v>49</v>
      </c>
      <c r="D11" s="22">
        <v>1</v>
      </c>
      <c r="E11" s="15" t="s">
        <v>100</v>
      </c>
      <c r="F11">
        <f t="shared" ref="F11:F26" si="2">B11</f>
        <v>23</v>
      </c>
      <c r="G11">
        <f t="shared" ref="G11:G25" si="3">C11+1</f>
        <v>50</v>
      </c>
      <c r="H11" s="15"/>
    </row>
    <row r="12" spans="1:16">
      <c r="A12" t="s">
        <v>539</v>
      </c>
      <c r="B12" s="21">
        <v>18</v>
      </c>
      <c r="C12" s="22">
        <v>69</v>
      </c>
      <c r="D12" s="22">
        <v>1</v>
      </c>
      <c r="E12" s="15" t="s">
        <v>100</v>
      </c>
      <c r="F12">
        <f t="shared" si="2"/>
        <v>18</v>
      </c>
      <c r="G12">
        <f t="shared" si="3"/>
        <v>70</v>
      </c>
      <c r="H12" s="15"/>
    </row>
    <row r="13" spans="1:16">
      <c r="A13" t="s">
        <v>540</v>
      </c>
      <c r="B13" s="21">
        <v>8</v>
      </c>
      <c r="C13" s="22">
        <v>17</v>
      </c>
      <c r="D13" s="22">
        <v>0.22</v>
      </c>
      <c r="E13" s="15" t="s">
        <v>100</v>
      </c>
      <c r="F13">
        <f t="shared" si="2"/>
        <v>8</v>
      </c>
      <c r="G13">
        <f t="shared" si="3"/>
        <v>18</v>
      </c>
      <c r="H13" s="15"/>
    </row>
    <row r="14" spans="1:16">
      <c r="A14" t="s">
        <v>540</v>
      </c>
      <c r="B14" s="21">
        <v>18</v>
      </c>
      <c r="C14" s="21">
        <v>32</v>
      </c>
      <c r="D14" s="22">
        <v>0.08</v>
      </c>
      <c r="E14" s="15" t="s">
        <v>100</v>
      </c>
      <c r="F14">
        <f t="shared" si="2"/>
        <v>18</v>
      </c>
      <c r="G14">
        <f t="shared" si="3"/>
        <v>33</v>
      </c>
      <c r="H14" s="15"/>
    </row>
    <row r="15" spans="1:16">
      <c r="A15" t="s">
        <v>540</v>
      </c>
      <c r="B15" s="21">
        <v>33</v>
      </c>
      <c r="C15" s="22">
        <v>69</v>
      </c>
      <c r="D15" s="22">
        <v>0.65</v>
      </c>
      <c r="E15" s="15" t="s">
        <v>100</v>
      </c>
      <c r="F15">
        <f t="shared" si="2"/>
        <v>33</v>
      </c>
      <c r="G15">
        <f t="shared" si="3"/>
        <v>70</v>
      </c>
      <c r="H15" s="15"/>
      <c r="J15" s="23"/>
      <c r="K15" s="23"/>
      <c r="L15" s="23"/>
      <c r="M15" s="23"/>
      <c r="N15" s="23"/>
      <c r="O15" s="23"/>
      <c r="P15" s="23"/>
    </row>
    <row r="16" spans="1:16">
      <c r="A16" t="s">
        <v>540</v>
      </c>
      <c r="B16" s="21">
        <v>70</v>
      </c>
      <c r="C16" s="21">
        <v>97</v>
      </c>
      <c r="D16" s="22"/>
      <c r="E16" s="15" t="s">
        <v>104</v>
      </c>
      <c r="F16">
        <f t="shared" si="2"/>
        <v>70</v>
      </c>
      <c r="G16">
        <f t="shared" si="3"/>
        <v>98</v>
      </c>
      <c r="H16">
        <f>B16+0.1</f>
        <v>70.099999999999994</v>
      </c>
      <c r="K16" s="19"/>
      <c r="L16" s="19"/>
      <c r="M16" s="19"/>
      <c r="N16" s="19"/>
      <c r="O16" s="19"/>
      <c r="P16" s="19"/>
    </row>
    <row r="17" spans="1:16">
      <c r="A17" t="s">
        <v>541</v>
      </c>
      <c r="B17" s="21">
        <v>18</v>
      </c>
      <c r="C17" s="21">
        <v>40</v>
      </c>
      <c r="D17" s="22">
        <v>0.03</v>
      </c>
      <c r="E17" s="15" t="s">
        <v>100</v>
      </c>
      <c r="F17">
        <f t="shared" si="2"/>
        <v>18</v>
      </c>
      <c r="G17">
        <f t="shared" si="3"/>
        <v>41</v>
      </c>
      <c r="H17" s="15"/>
      <c r="K17" s="19"/>
      <c r="L17" s="19"/>
      <c r="M17" s="19"/>
      <c r="N17" s="19"/>
      <c r="O17" s="19"/>
      <c r="P17" s="19"/>
    </row>
    <row r="18" spans="1:16">
      <c r="A18" t="s">
        <v>541</v>
      </c>
      <c r="B18" s="21">
        <v>41</v>
      </c>
      <c r="C18" s="22">
        <v>60</v>
      </c>
      <c r="D18" s="22">
        <v>0.2</v>
      </c>
      <c r="E18" s="15" t="s">
        <v>100</v>
      </c>
      <c r="F18">
        <f t="shared" si="2"/>
        <v>41</v>
      </c>
      <c r="G18">
        <f t="shared" si="3"/>
        <v>61</v>
      </c>
      <c r="H18" s="15"/>
    </row>
    <row r="19" spans="1:16">
      <c r="A19" t="s">
        <v>541</v>
      </c>
      <c r="B19" s="21">
        <v>61</v>
      </c>
      <c r="C19" s="21">
        <v>70</v>
      </c>
      <c r="D19" s="22">
        <v>0.51600000000000001</v>
      </c>
      <c r="E19" s="15" t="s">
        <v>100</v>
      </c>
      <c r="F19">
        <f t="shared" si="2"/>
        <v>61</v>
      </c>
      <c r="G19">
        <f t="shared" si="3"/>
        <v>71</v>
      </c>
    </row>
    <row r="20" spans="1:16">
      <c r="A20" t="s">
        <v>541</v>
      </c>
      <c r="B20" s="21">
        <v>71</v>
      </c>
      <c r="C20" s="21">
        <v>80</v>
      </c>
      <c r="D20" s="22"/>
      <c r="E20" s="15" t="s">
        <v>104</v>
      </c>
      <c r="F20">
        <f t="shared" si="2"/>
        <v>71</v>
      </c>
      <c r="G20">
        <f t="shared" si="3"/>
        <v>81</v>
      </c>
      <c r="H20">
        <f>B20+0.1</f>
        <v>71.099999999999994</v>
      </c>
    </row>
    <row r="21" spans="1:16">
      <c r="A21" t="s">
        <v>542</v>
      </c>
      <c r="B21" s="21">
        <v>30</v>
      </c>
      <c r="C21" s="21">
        <v>39</v>
      </c>
      <c r="D21" s="22">
        <v>0.16</v>
      </c>
      <c r="E21" s="15" t="s">
        <v>100</v>
      </c>
      <c r="F21">
        <f t="shared" si="2"/>
        <v>30</v>
      </c>
      <c r="G21">
        <f t="shared" si="3"/>
        <v>40</v>
      </c>
      <c r="H21" s="15"/>
      <c r="L21" s="24"/>
    </row>
    <row r="22" spans="1:16">
      <c r="A22" t="s">
        <v>542</v>
      </c>
      <c r="B22" s="21">
        <v>40</v>
      </c>
      <c r="C22" s="22">
        <v>49</v>
      </c>
      <c r="D22" s="22">
        <v>0.16</v>
      </c>
      <c r="E22" s="15" t="s">
        <v>100</v>
      </c>
      <c r="F22">
        <f t="shared" si="2"/>
        <v>40</v>
      </c>
      <c r="G22">
        <f t="shared" si="3"/>
        <v>50</v>
      </c>
      <c r="H22" s="15"/>
      <c r="L22" s="24"/>
    </row>
    <row r="23" spans="1:16">
      <c r="A23" t="s">
        <v>542</v>
      </c>
      <c r="B23" s="21">
        <v>50</v>
      </c>
      <c r="C23" s="22">
        <v>59</v>
      </c>
      <c r="D23" s="22">
        <v>0.2</v>
      </c>
      <c r="E23" s="15" t="s">
        <v>100</v>
      </c>
      <c r="F23">
        <f t="shared" si="2"/>
        <v>50</v>
      </c>
      <c r="G23">
        <f t="shared" si="3"/>
        <v>60</v>
      </c>
      <c r="H23" s="15"/>
      <c r="L23" s="24"/>
    </row>
    <row r="24" spans="1:16">
      <c r="A24" t="s">
        <v>542</v>
      </c>
      <c r="B24" s="21">
        <v>60</v>
      </c>
      <c r="C24" s="22">
        <v>69</v>
      </c>
      <c r="D24" s="22">
        <v>0.18</v>
      </c>
      <c r="E24" s="15" t="s">
        <v>100</v>
      </c>
      <c r="F24">
        <f t="shared" si="2"/>
        <v>60</v>
      </c>
      <c r="G24">
        <f t="shared" si="3"/>
        <v>70</v>
      </c>
      <c r="H24" s="15"/>
      <c r="L24" s="24"/>
    </row>
    <row r="25" spans="1:16">
      <c r="A25" t="s">
        <v>542</v>
      </c>
      <c r="B25" s="21">
        <v>70</v>
      </c>
      <c r="C25" s="22">
        <v>79</v>
      </c>
      <c r="D25" s="22">
        <v>0.24</v>
      </c>
      <c r="E25" s="15" t="s">
        <v>100</v>
      </c>
      <c r="F25">
        <f t="shared" si="2"/>
        <v>70</v>
      </c>
      <c r="G25">
        <f t="shared" si="3"/>
        <v>80</v>
      </c>
      <c r="H25" s="15"/>
      <c r="L25" s="24"/>
    </row>
    <row r="26" spans="1:16">
      <c r="A26" t="s">
        <v>542</v>
      </c>
      <c r="B26" s="21">
        <v>80</v>
      </c>
      <c r="C26" s="21">
        <v>99</v>
      </c>
      <c r="D26" s="22"/>
      <c r="E26" s="15" t="s">
        <v>104</v>
      </c>
      <c r="F26">
        <f t="shared" si="2"/>
        <v>80</v>
      </c>
      <c r="G26">
        <f>C26</f>
        <v>99</v>
      </c>
      <c r="H26">
        <f>B26+0.1</f>
        <v>80.099999999999994</v>
      </c>
      <c r="L26" s="2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7448-96D8-49DE-B52B-D1A600CE561E}">
  <dimension ref="A1:N55"/>
  <sheetViews>
    <sheetView zoomScaleNormal="100" workbookViewId="0">
      <selection activeCell="C7" sqref="C7"/>
    </sheetView>
  </sheetViews>
  <sheetFormatPr defaultRowHeight="14.5"/>
  <cols>
    <col min="2" max="2" width="16" customWidth="1"/>
    <col min="3" max="3" width="13" customWidth="1"/>
    <col min="4" max="4" width="16.54296875" customWidth="1"/>
    <col min="5" max="6" width="14" customWidth="1"/>
  </cols>
  <sheetData>
    <row r="1" spans="1:6">
      <c r="A1" t="s">
        <v>2</v>
      </c>
      <c r="B1" t="s">
        <v>8</v>
      </c>
      <c r="C1" t="s">
        <v>11</v>
      </c>
      <c r="D1" t="s">
        <v>12</v>
      </c>
      <c r="E1" t="s">
        <v>15</v>
      </c>
      <c r="F1" t="s">
        <v>13</v>
      </c>
    </row>
    <row r="2" spans="1:6">
      <c r="A2" t="s">
        <v>3</v>
      </c>
      <c r="B2" t="s">
        <v>65</v>
      </c>
      <c r="C2">
        <v>3.14</v>
      </c>
      <c r="D2">
        <v>1.57</v>
      </c>
      <c r="E2" t="s">
        <v>1</v>
      </c>
      <c r="F2" t="s">
        <v>37</v>
      </c>
    </row>
    <row r="3" spans="1:6">
      <c r="A3" t="s">
        <v>4</v>
      </c>
      <c r="B3" t="s">
        <v>65</v>
      </c>
      <c r="C3">
        <v>3.36</v>
      </c>
      <c r="D3">
        <v>1.57</v>
      </c>
      <c r="E3" t="s">
        <v>1</v>
      </c>
      <c r="F3" t="s">
        <v>37</v>
      </c>
    </row>
    <row r="4" spans="1:6">
      <c r="A4" t="s">
        <v>6</v>
      </c>
      <c r="B4" t="s">
        <v>65</v>
      </c>
      <c r="C4">
        <v>8.3000000000000007</v>
      </c>
      <c r="D4">
        <v>1.57</v>
      </c>
      <c r="E4" t="s">
        <v>1</v>
      </c>
      <c r="F4" t="s">
        <v>37</v>
      </c>
    </row>
    <row r="5" spans="1:6">
      <c r="A5" t="s">
        <v>5</v>
      </c>
      <c r="B5" t="s">
        <v>65</v>
      </c>
      <c r="C5">
        <v>2.35</v>
      </c>
      <c r="D5">
        <v>1.53</v>
      </c>
      <c r="E5" t="s">
        <v>1</v>
      </c>
      <c r="F5" t="s">
        <v>37</v>
      </c>
    </row>
    <row r="6" spans="1:6">
      <c r="A6" t="s">
        <v>36</v>
      </c>
      <c r="B6" t="s">
        <v>65</v>
      </c>
      <c r="C6">
        <v>4.72</v>
      </c>
      <c r="D6">
        <v>1.57</v>
      </c>
      <c r="E6" t="s">
        <v>1</v>
      </c>
      <c r="F6" t="s">
        <v>37</v>
      </c>
    </row>
    <row r="7" spans="1:6">
      <c r="A7" t="s">
        <v>35</v>
      </c>
      <c r="B7" t="s">
        <v>65</v>
      </c>
      <c r="C7">
        <v>0.38400000000000001</v>
      </c>
      <c r="D7">
        <v>1.57</v>
      </c>
      <c r="E7" t="s">
        <v>1</v>
      </c>
      <c r="F7" t="s">
        <v>37</v>
      </c>
    </row>
    <row r="8" spans="1:6" ht="14" customHeight="1">
      <c r="A8" t="s">
        <v>3</v>
      </c>
      <c r="B8" t="s">
        <v>66</v>
      </c>
      <c r="C8">
        <v>0.42799999999999999</v>
      </c>
      <c r="D8">
        <v>1.1200000000000001</v>
      </c>
      <c r="E8" t="s">
        <v>1</v>
      </c>
      <c r="F8" t="s">
        <v>37</v>
      </c>
    </row>
    <row r="9" spans="1:6">
      <c r="A9" t="s">
        <v>4</v>
      </c>
      <c r="B9" t="s">
        <v>66</v>
      </c>
      <c r="C9">
        <v>0.32</v>
      </c>
      <c r="D9">
        <v>1.1100000000000001</v>
      </c>
      <c r="E9" t="s">
        <v>1</v>
      </c>
      <c r="F9" t="s">
        <v>37</v>
      </c>
    </row>
    <row r="10" spans="1:6">
      <c r="A10" t="s">
        <v>6</v>
      </c>
      <c r="B10" t="s">
        <v>66</v>
      </c>
      <c r="C10">
        <v>0.28999999999999998</v>
      </c>
      <c r="D10">
        <v>1.1100000000000001</v>
      </c>
      <c r="E10" t="s">
        <v>1</v>
      </c>
      <c r="F10" t="s">
        <v>37</v>
      </c>
    </row>
    <row r="11" spans="1:6">
      <c r="A11" t="s">
        <v>5</v>
      </c>
      <c r="B11" t="s">
        <v>66</v>
      </c>
      <c r="C11">
        <v>0.19</v>
      </c>
      <c r="D11">
        <v>1.1200000000000001</v>
      </c>
      <c r="E11" t="s">
        <v>1</v>
      </c>
      <c r="F11" t="s">
        <v>37</v>
      </c>
    </row>
    <row r="12" spans="1:6">
      <c r="A12" t="s">
        <v>36</v>
      </c>
      <c r="B12" t="s">
        <v>66</v>
      </c>
      <c r="C12">
        <v>0.36499999999999999</v>
      </c>
      <c r="D12">
        <v>1.1200000000000001</v>
      </c>
      <c r="E12" t="s">
        <v>1</v>
      </c>
      <c r="F12" t="s">
        <v>37</v>
      </c>
    </row>
    <row r="13" spans="1:6">
      <c r="A13" t="s">
        <v>35</v>
      </c>
      <c r="B13" t="s">
        <v>66</v>
      </c>
      <c r="C13">
        <v>0.21</v>
      </c>
      <c r="D13">
        <v>1.1200000000000001</v>
      </c>
      <c r="E13" t="s">
        <v>1</v>
      </c>
      <c r="F13" t="s">
        <v>37</v>
      </c>
    </row>
    <row r="14" spans="1:6">
      <c r="A14" t="s">
        <v>1</v>
      </c>
      <c r="B14" t="s">
        <v>44</v>
      </c>
      <c r="C14">
        <v>1</v>
      </c>
      <c r="D14">
        <v>0.2</v>
      </c>
      <c r="E14" t="s">
        <v>1</v>
      </c>
      <c r="F14" t="s">
        <v>14</v>
      </c>
    </row>
    <row r="15" spans="1:6">
      <c r="A15" t="s">
        <v>1</v>
      </c>
      <c r="B15" t="s">
        <v>68</v>
      </c>
      <c r="C15">
        <v>1.32</v>
      </c>
      <c r="D15">
        <v>1.31</v>
      </c>
      <c r="E15" t="s">
        <v>1</v>
      </c>
      <c r="F15" t="s">
        <v>70</v>
      </c>
    </row>
    <row r="16" spans="1:6">
      <c r="A16" t="s">
        <v>1</v>
      </c>
      <c r="B16" t="s">
        <v>69</v>
      </c>
      <c r="C16">
        <v>0.88</v>
      </c>
      <c r="D16">
        <v>0.87</v>
      </c>
      <c r="E16" t="s">
        <v>1</v>
      </c>
      <c r="F16" t="s">
        <v>70</v>
      </c>
    </row>
    <row r="17" spans="1:14">
      <c r="A17" t="s">
        <v>3</v>
      </c>
      <c r="B17" t="s">
        <v>7</v>
      </c>
      <c r="C17">
        <v>0.87</v>
      </c>
      <c r="D17">
        <f t="shared" ref="D17:D21" si="0">C17*E17</f>
        <v>1.7399999999999999E-2</v>
      </c>
      <c r="E17">
        <v>0.02</v>
      </c>
      <c r="F17" t="s">
        <v>14</v>
      </c>
    </row>
    <row r="18" spans="1:14">
      <c r="A18" t="s">
        <v>4</v>
      </c>
      <c r="B18" t="s">
        <v>7</v>
      </c>
      <c r="C18">
        <v>0.42</v>
      </c>
      <c r="D18">
        <f t="shared" si="0"/>
        <v>8.3999999999999995E-3</v>
      </c>
      <c r="E18">
        <v>0.02</v>
      </c>
      <c r="F18" t="s">
        <v>14</v>
      </c>
      <c r="J18" s="3"/>
      <c r="N18" s="3"/>
    </row>
    <row r="19" spans="1:14">
      <c r="A19" t="s">
        <v>6</v>
      </c>
      <c r="B19" t="s">
        <v>7</v>
      </c>
      <c r="C19">
        <v>0.7</v>
      </c>
      <c r="D19">
        <f t="shared" si="0"/>
        <v>1.4E-2</v>
      </c>
      <c r="E19">
        <v>0.02</v>
      </c>
      <c r="F19" t="s">
        <v>14</v>
      </c>
      <c r="J19" s="3"/>
      <c r="N19" s="3"/>
    </row>
    <row r="20" spans="1:14">
      <c r="A20" t="s">
        <v>5</v>
      </c>
      <c r="B20" t="s">
        <v>7</v>
      </c>
      <c r="C20">
        <v>0.53</v>
      </c>
      <c r="D20">
        <f t="shared" si="0"/>
        <v>1.06E-2</v>
      </c>
      <c r="E20">
        <v>0.02</v>
      </c>
      <c r="F20" t="s">
        <v>14</v>
      </c>
      <c r="J20" s="3"/>
      <c r="N20" s="3"/>
    </row>
    <row r="21" spans="1:14">
      <c r="A21" t="s">
        <v>36</v>
      </c>
      <c r="B21" t="s">
        <v>7</v>
      </c>
      <c r="C21">
        <v>0.32</v>
      </c>
      <c r="D21">
        <f t="shared" si="0"/>
        <v>6.4000000000000003E-3</v>
      </c>
      <c r="E21">
        <v>0.02</v>
      </c>
      <c r="F21" t="s">
        <v>14</v>
      </c>
      <c r="J21" s="3"/>
      <c r="N21" s="3"/>
    </row>
    <row r="22" spans="1:14">
      <c r="A22" t="s">
        <v>35</v>
      </c>
      <c r="B22" t="s">
        <v>7</v>
      </c>
      <c r="C22">
        <v>1.25</v>
      </c>
      <c r="D22">
        <f>C22*E22</f>
        <v>2.5000000000000001E-2</v>
      </c>
      <c r="E22">
        <v>0.02</v>
      </c>
      <c r="F22" t="s">
        <v>14</v>
      </c>
      <c r="J22" s="3"/>
      <c r="N22" s="3"/>
    </row>
    <row r="23" spans="1:14">
      <c r="A23" t="s">
        <v>3</v>
      </c>
      <c r="B23" t="s">
        <v>39</v>
      </c>
      <c r="C23">
        <v>5.1999999999999998E-2</v>
      </c>
      <c r="D23">
        <f t="shared" ref="D23:D27" si="1">C23*E23</f>
        <v>1.0399999999999999E-3</v>
      </c>
      <c r="E23">
        <v>0.02</v>
      </c>
      <c r="F23" t="s">
        <v>14</v>
      </c>
    </row>
    <row r="24" spans="1:14">
      <c r="A24" t="s">
        <v>4</v>
      </c>
      <c r="B24" t="s">
        <v>39</v>
      </c>
      <c r="C24">
        <v>1.2999999999999999E-2</v>
      </c>
      <c r="D24">
        <f t="shared" si="1"/>
        <v>2.5999999999999998E-4</v>
      </c>
      <c r="E24">
        <v>0.02</v>
      </c>
      <c r="F24" t="s">
        <v>14</v>
      </c>
    </row>
    <row r="25" spans="1:14">
      <c r="A25" t="s">
        <v>6</v>
      </c>
      <c r="B25" t="s">
        <v>39</v>
      </c>
      <c r="C25">
        <v>1.4E-2</v>
      </c>
      <c r="D25">
        <f t="shared" si="1"/>
        <v>2.7999999999999998E-4</v>
      </c>
      <c r="E25">
        <v>0.02</v>
      </c>
      <c r="F25" t="s">
        <v>14</v>
      </c>
    </row>
    <row r="26" spans="1:14">
      <c r="A26" t="s">
        <v>5</v>
      </c>
      <c r="B26" t="s">
        <v>39</v>
      </c>
      <c r="C26">
        <v>0.01</v>
      </c>
      <c r="D26">
        <f t="shared" si="1"/>
        <v>2.0000000000000001E-4</v>
      </c>
      <c r="E26">
        <v>0.02</v>
      </c>
      <c r="F26" t="s">
        <v>14</v>
      </c>
    </row>
    <row r="27" spans="1:14">
      <c r="A27" t="s">
        <v>36</v>
      </c>
      <c r="B27" t="s">
        <v>39</v>
      </c>
      <c r="C27">
        <v>2.3E-2</v>
      </c>
      <c r="D27">
        <f t="shared" si="1"/>
        <v>4.6000000000000001E-4</v>
      </c>
      <c r="E27">
        <v>0.02</v>
      </c>
      <c r="F27" t="s">
        <v>14</v>
      </c>
    </row>
    <row r="28" spans="1:14">
      <c r="A28" t="s">
        <v>35</v>
      </c>
      <c r="B28" t="s">
        <v>39</v>
      </c>
      <c r="C28">
        <v>5.1999999999999998E-2</v>
      </c>
      <c r="D28">
        <f>C28*E28</f>
        <v>1.0399999999999999E-3</v>
      </c>
      <c r="E28">
        <v>0.02</v>
      </c>
      <c r="F28" t="s">
        <v>14</v>
      </c>
    </row>
    <row r="29" spans="1:14">
      <c r="A29" t="s">
        <v>3</v>
      </c>
      <c r="B29" t="s">
        <v>393</v>
      </c>
      <c r="C29" s="20">
        <v>4.2599999999999999E-3</v>
      </c>
      <c r="D29" t="s">
        <v>1</v>
      </c>
      <c r="E29" t="s">
        <v>1</v>
      </c>
      <c r="F29" t="s">
        <v>72</v>
      </c>
      <c r="J29" s="3"/>
    </row>
    <row r="30" spans="1:14">
      <c r="A30" t="s">
        <v>4</v>
      </c>
      <c r="B30" t="s">
        <v>393</v>
      </c>
      <c r="C30">
        <v>1.99E-3</v>
      </c>
      <c r="D30" t="s">
        <v>1</v>
      </c>
      <c r="E30" t="s">
        <v>1</v>
      </c>
      <c r="F30" t="s">
        <v>72</v>
      </c>
      <c r="J30" s="3"/>
    </row>
    <row r="31" spans="1:14">
      <c r="A31" t="s">
        <v>6</v>
      </c>
      <c r="B31" t="s">
        <v>393</v>
      </c>
      <c r="C31">
        <v>8.4400000000000002E-4</v>
      </c>
      <c r="D31" t="s">
        <v>1</v>
      </c>
      <c r="E31" t="s">
        <v>1</v>
      </c>
      <c r="F31" t="s">
        <v>72</v>
      </c>
      <c r="J31" s="3"/>
    </row>
    <row r="32" spans="1:14">
      <c r="A32" t="s">
        <v>5</v>
      </c>
      <c r="B32" t="s">
        <v>393</v>
      </c>
      <c r="C32">
        <v>9.1100000000000003E-4</v>
      </c>
      <c r="D32" t="s">
        <v>1</v>
      </c>
      <c r="E32" t="s">
        <v>1</v>
      </c>
      <c r="F32" t="s">
        <v>72</v>
      </c>
      <c r="J32" s="3"/>
    </row>
    <row r="33" spans="1:10">
      <c r="A33" t="s">
        <v>36</v>
      </c>
      <c r="B33" t="s">
        <v>393</v>
      </c>
      <c r="C33">
        <v>2.0999999999999999E-3</v>
      </c>
      <c r="D33" t="s">
        <v>1</v>
      </c>
      <c r="E33" t="s">
        <v>1</v>
      </c>
      <c r="F33" t="s">
        <v>72</v>
      </c>
      <c r="J33" s="3"/>
    </row>
    <row r="34" spans="1:10">
      <c r="A34" t="s">
        <v>35</v>
      </c>
      <c r="B34" t="s">
        <v>393</v>
      </c>
      <c r="C34">
        <v>4.2599999999999999E-3</v>
      </c>
      <c r="D34" t="s">
        <v>1</v>
      </c>
      <c r="E34" t="s">
        <v>1</v>
      </c>
      <c r="F34" t="s">
        <v>72</v>
      </c>
      <c r="J34" s="3"/>
    </row>
    <row r="35" spans="1:10">
      <c r="A35" t="s">
        <v>1</v>
      </c>
      <c r="B35" t="s">
        <v>67</v>
      </c>
      <c r="C35">
        <v>0</v>
      </c>
      <c r="D35" t="s">
        <v>1</v>
      </c>
      <c r="E35" t="s">
        <v>1</v>
      </c>
      <c r="F35" t="s">
        <v>72</v>
      </c>
      <c r="J35" s="3"/>
    </row>
    <row r="36" spans="1:10">
      <c r="J36" s="3"/>
    </row>
    <row r="37" spans="1:10">
      <c r="J37" s="3"/>
    </row>
    <row r="38" spans="1:10">
      <c r="J38" s="3"/>
    </row>
    <row r="39" spans="1:10">
      <c r="J39" s="3"/>
    </row>
    <row r="40" spans="1:10">
      <c r="J40" s="3"/>
    </row>
    <row r="41" spans="1:10">
      <c r="J41" s="3"/>
    </row>
    <row r="42" spans="1:10">
      <c r="J42" s="3"/>
    </row>
    <row r="43" spans="1:10">
      <c r="J43" s="3"/>
    </row>
    <row r="44" spans="1:10">
      <c r="J44" s="3"/>
    </row>
    <row r="45" spans="1:10">
      <c r="J45" s="3"/>
    </row>
    <row r="46" spans="1:10">
      <c r="J46" s="3"/>
    </row>
    <row r="47" spans="1:10">
      <c r="J47" s="3"/>
    </row>
    <row r="48" spans="1:10">
      <c r="J48" s="3"/>
    </row>
    <row r="49" spans="10:10">
      <c r="J49" s="3"/>
    </row>
    <row r="50" spans="10:10">
      <c r="J50" s="3"/>
    </row>
    <row r="51" spans="10:10">
      <c r="J51" s="3"/>
    </row>
    <row r="52" spans="10:10">
      <c r="J52" s="3"/>
    </row>
    <row r="53" spans="10:10">
      <c r="J53" s="3"/>
    </row>
    <row r="54" spans="10:10">
      <c r="J54" s="3"/>
    </row>
    <row r="55" spans="10:10">
      <c r="J55" s="3"/>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4"/>
  <sheetViews>
    <sheetView workbookViewId="0">
      <selection activeCell="E32" sqref="E32"/>
    </sheetView>
  </sheetViews>
  <sheetFormatPr defaultRowHeight="14.5"/>
  <cols>
    <col min="1" max="1" width="9.54296875" bestFit="1" customWidth="1"/>
    <col min="2" max="2" width="14.453125" style="7" bestFit="1" customWidth="1"/>
    <col min="3" max="3" width="14.453125" bestFit="1" customWidth="1"/>
    <col min="4" max="4" width="28.54296875" customWidth="1"/>
    <col min="6" max="6" width="21.453125" customWidth="1"/>
    <col min="8" max="8" width="9.54296875" bestFit="1" customWidth="1"/>
    <col min="9" max="9" width="23" customWidth="1"/>
  </cols>
  <sheetData>
    <row r="1" spans="1:6" s="8" customFormat="1">
      <c r="A1" s="8" t="s">
        <v>45</v>
      </c>
      <c r="B1" s="12" t="s">
        <v>17</v>
      </c>
      <c r="C1" s="8" t="s">
        <v>18</v>
      </c>
    </row>
    <row r="2" spans="1:6" s="8" customFormat="1">
      <c r="A2">
        <v>0</v>
      </c>
      <c r="B2">
        <v>150</v>
      </c>
      <c r="C2" t="s">
        <v>40</v>
      </c>
    </row>
    <row r="3" spans="1:6" s="8" customFormat="1">
      <c r="A3">
        <v>8.3000000000000004E-2</v>
      </c>
      <c r="B3">
        <v>140</v>
      </c>
      <c r="C3" t="s">
        <v>41</v>
      </c>
    </row>
    <row r="4" spans="1:6" s="8" customFormat="1">
      <c r="A4">
        <v>0.16700000000000001</v>
      </c>
      <c r="B4">
        <v>140</v>
      </c>
      <c r="C4"/>
    </row>
    <row r="5" spans="1:6" s="8" customFormat="1">
      <c r="A5">
        <v>0.25</v>
      </c>
      <c r="B5">
        <v>110</v>
      </c>
      <c r="C5" t="s">
        <v>42</v>
      </c>
    </row>
    <row r="6" spans="1:6" s="8" customFormat="1">
      <c r="A6">
        <v>0.33300000000000002</v>
      </c>
      <c r="B6">
        <v>110</v>
      </c>
      <c r="C6"/>
    </row>
    <row r="7" spans="1:6" s="8" customFormat="1">
      <c r="A7">
        <v>0.41699999999999998</v>
      </c>
      <c r="B7">
        <v>110</v>
      </c>
      <c r="C7"/>
    </row>
    <row r="8" spans="1:6" s="8" customFormat="1">
      <c r="A8">
        <v>0.5</v>
      </c>
      <c r="B8">
        <v>83</v>
      </c>
      <c r="C8" t="s">
        <v>43</v>
      </c>
    </row>
    <row r="9" spans="1:6" s="8" customFormat="1">
      <c r="A9">
        <v>0.58299999999999996</v>
      </c>
      <c r="B9">
        <v>83</v>
      </c>
      <c r="C9"/>
    </row>
    <row r="10" spans="1:6" s="8" customFormat="1">
      <c r="A10">
        <v>0.66700000000000004</v>
      </c>
      <c r="B10">
        <v>83</v>
      </c>
      <c r="C10"/>
    </row>
    <row r="11" spans="1:6" s="8" customFormat="1">
      <c r="A11">
        <v>0.75</v>
      </c>
      <c r="B11">
        <v>83</v>
      </c>
      <c r="C11"/>
    </row>
    <row r="12" spans="1:6" s="8" customFormat="1">
      <c r="A12">
        <v>0.83299999999999996</v>
      </c>
      <c r="B12">
        <v>83</v>
      </c>
      <c r="C12"/>
    </row>
    <row r="13" spans="1:6" s="8" customFormat="1">
      <c r="A13">
        <v>0.91700000000000004</v>
      </c>
      <c r="B13">
        <v>83</v>
      </c>
      <c r="C13"/>
    </row>
    <row r="14" spans="1:6">
      <c r="A14">
        <v>1</v>
      </c>
      <c r="B14" s="9">
        <v>22.1</v>
      </c>
      <c r="C14" s="10" t="s">
        <v>19</v>
      </c>
    </row>
    <row r="15" spans="1:6">
      <c r="A15">
        <v>2</v>
      </c>
      <c r="B15" s="9">
        <v>23.9</v>
      </c>
      <c r="C15" s="10" t="s">
        <v>20</v>
      </c>
      <c r="F15" s="5"/>
    </row>
    <row r="16" spans="1:6">
      <c r="A16">
        <v>3</v>
      </c>
      <c r="B16" s="6">
        <f>B15+($B$15-$B$18)/($A$15-$A$18)</f>
        <v>22.17</v>
      </c>
      <c r="F16" s="5"/>
    </row>
    <row r="17" spans="1:7">
      <c r="A17">
        <v>4</v>
      </c>
      <c r="B17" s="6">
        <f>B16+($B$15-$B$18)/($A$15-$A$18)</f>
        <v>20.440000000000001</v>
      </c>
      <c r="F17" s="5"/>
    </row>
    <row r="18" spans="1:7">
      <c r="A18">
        <v>5</v>
      </c>
      <c r="B18" s="9">
        <v>18.7</v>
      </c>
      <c r="C18" s="10" t="s">
        <v>21</v>
      </c>
      <c r="F18" s="5"/>
    </row>
    <row r="19" spans="1:7">
      <c r="A19">
        <v>6</v>
      </c>
      <c r="B19" s="6">
        <f>B18+($B$18-$B$23)/($A$18-$A$23)</f>
        <v>18</v>
      </c>
      <c r="F19" s="4"/>
    </row>
    <row r="20" spans="1:7">
      <c r="A20">
        <v>7</v>
      </c>
      <c r="B20" s="6">
        <f>B19+($B$18-$B$23)/($A$18-$A$23)</f>
        <v>17.3</v>
      </c>
      <c r="F20" s="4"/>
    </row>
    <row r="21" spans="1:7">
      <c r="A21">
        <v>8</v>
      </c>
      <c r="B21" s="6">
        <f>B20+($B$18-$B$23)/($A$18-$A$23)</f>
        <v>16.600000000000001</v>
      </c>
      <c r="F21" s="4"/>
      <c r="G21" s="5"/>
    </row>
    <row r="22" spans="1:7">
      <c r="A22">
        <v>9</v>
      </c>
      <c r="B22" s="6">
        <f>B21+($B$18-$B$23)/($A$18-$A$23)</f>
        <v>15.9</v>
      </c>
    </row>
    <row r="23" spans="1:7">
      <c r="A23">
        <v>10</v>
      </c>
      <c r="B23" s="11">
        <v>15.2</v>
      </c>
      <c r="C23" s="10" t="s">
        <v>22</v>
      </c>
    </row>
    <row r="24" spans="1:7">
      <c r="A24">
        <v>11</v>
      </c>
      <c r="B24" s="6">
        <f>B23+($B$23-$B$28)/($A$23-$A$28)</f>
        <v>14.24</v>
      </c>
    </row>
    <row r="25" spans="1:7">
      <c r="A25">
        <f>A24+1</f>
        <v>12</v>
      </c>
      <c r="B25" s="6">
        <f>B24+($B$23-$B$28)/($A$23-$A$28)</f>
        <v>13.28</v>
      </c>
    </row>
    <row r="26" spans="1:7">
      <c r="A26">
        <f t="shared" ref="A26:A89" si="0">A25+1</f>
        <v>13</v>
      </c>
      <c r="B26" s="6">
        <f>B25+($B$23-$B$28)/($A$23-$A$28)</f>
        <v>12.32</v>
      </c>
    </row>
    <row r="27" spans="1:7">
      <c r="A27">
        <f t="shared" si="0"/>
        <v>14</v>
      </c>
      <c r="B27" s="6">
        <f>B26+($B$23-$B$28)/($A$23-$A$28)</f>
        <v>11.36</v>
      </c>
    </row>
    <row r="28" spans="1:7">
      <c r="A28">
        <f t="shared" si="0"/>
        <v>15</v>
      </c>
      <c r="B28" s="11">
        <v>10.4</v>
      </c>
      <c r="C28" s="10" t="s">
        <v>23</v>
      </c>
    </row>
    <row r="29" spans="1:7">
      <c r="A29">
        <f t="shared" si="0"/>
        <v>16</v>
      </c>
      <c r="B29" s="6">
        <f>B28+($B$28-$B$33)/($A$28-$A$33)</f>
        <v>10.36</v>
      </c>
    </row>
    <row r="30" spans="1:7">
      <c r="A30">
        <f t="shared" si="0"/>
        <v>17</v>
      </c>
      <c r="B30" s="6">
        <f>B29+($B$28-$B$33)/($A$28-$A$33)</f>
        <v>10.32</v>
      </c>
    </row>
    <row r="31" spans="1:7">
      <c r="A31">
        <f t="shared" si="0"/>
        <v>18</v>
      </c>
      <c r="B31" s="6">
        <f>B30+($B$28-$B$33)/($A$28-$A$33)</f>
        <v>10.28</v>
      </c>
    </row>
    <row r="32" spans="1:7">
      <c r="A32">
        <f t="shared" si="0"/>
        <v>19</v>
      </c>
      <c r="B32" s="6">
        <f>B31+($B$28-$B$33)/($A$28-$A$33)</f>
        <v>10.24</v>
      </c>
    </row>
    <row r="33" spans="1:4">
      <c r="A33">
        <f t="shared" si="0"/>
        <v>20</v>
      </c>
      <c r="B33" s="7">
        <v>10.199999999999999</v>
      </c>
      <c r="C33" s="10" t="s">
        <v>24</v>
      </c>
    </row>
    <row r="34" spans="1:4">
      <c r="A34">
        <f t="shared" si="0"/>
        <v>21</v>
      </c>
      <c r="B34" s="6">
        <f t="shared" ref="B34:B41" si="1">B33+($B$33-$B$42)/($A$33-$A$42)</f>
        <v>10.83</v>
      </c>
    </row>
    <row r="35" spans="1:4">
      <c r="A35">
        <f t="shared" si="0"/>
        <v>22</v>
      </c>
      <c r="B35" s="6">
        <f t="shared" si="1"/>
        <v>11.46</v>
      </c>
    </row>
    <row r="36" spans="1:4">
      <c r="A36">
        <f t="shared" si="0"/>
        <v>23</v>
      </c>
      <c r="B36" s="6">
        <f t="shared" si="1"/>
        <v>12.09</v>
      </c>
    </row>
    <row r="37" spans="1:4">
      <c r="A37">
        <f t="shared" si="0"/>
        <v>24</v>
      </c>
      <c r="B37" s="6">
        <f t="shared" si="1"/>
        <v>12.72</v>
      </c>
    </row>
    <row r="38" spans="1:4">
      <c r="A38">
        <f t="shared" si="0"/>
        <v>25</v>
      </c>
      <c r="B38" s="6">
        <f t="shared" si="1"/>
        <v>13.35</v>
      </c>
    </row>
    <row r="39" spans="1:4">
      <c r="A39">
        <f t="shared" si="0"/>
        <v>26</v>
      </c>
      <c r="B39" s="6">
        <f t="shared" si="1"/>
        <v>13.98</v>
      </c>
    </row>
    <row r="40" spans="1:4">
      <c r="A40">
        <f t="shared" si="0"/>
        <v>27</v>
      </c>
      <c r="B40" s="6">
        <f t="shared" si="1"/>
        <v>14.61</v>
      </c>
    </row>
    <row r="41" spans="1:4">
      <c r="A41">
        <f t="shared" si="0"/>
        <v>28</v>
      </c>
      <c r="B41" s="6">
        <f t="shared" si="1"/>
        <v>15.24</v>
      </c>
    </row>
    <row r="42" spans="1:4">
      <c r="A42">
        <f t="shared" si="0"/>
        <v>29</v>
      </c>
      <c r="B42" s="11">
        <v>15.9</v>
      </c>
      <c r="C42" s="10" t="s">
        <v>25</v>
      </c>
      <c r="D42" s="4"/>
    </row>
    <row r="43" spans="1:4">
      <c r="A43">
        <f t="shared" si="0"/>
        <v>30</v>
      </c>
      <c r="B43" s="6">
        <f t="shared" ref="B43:B51" si="2">B42+($B$42-$B$52)/($A$42-$A$52)</f>
        <v>15.89</v>
      </c>
    </row>
    <row r="44" spans="1:4">
      <c r="A44">
        <f t="shared" si="0"/>
        <v>31</v>
      </c>
      <c r="B44" s="6">
        <f t="shared" si="2"/>
        <v>15.88</v>
      </c>
    </row>
    <row r="45" spans="1:4">
      <c r="A45">
        <f t="shared" si="0"/>
        <v>32</v>
      </c>
      <c r="B45" s="6">
        <f t="shared" si="2"/>
        <v>15.87</v>
      </c>
    </row>
    <row r="46" spans="1:4">
      <c r="A46">
        <f t="shared" si="0"/>
        <v>33</v>
      </c>
      <c r="B46" s="6">
        <f t="shared" si="2"/>
        <v>15.86</v>
      </c>
    </row>
    <row r="47" spans="1:4">
      <c r="A47">
        <f t="shared" si="0"/>
        <v>34</v>
      </c>
      <c r="B47" s="6">
        <f t="shared" si="2"/>
        <v>15.85</v>
      </c>
    </row>
    <row r="48" spans="1:4">
      <c r="A48">
        <f t="shared" si="0"/>
        <v>35</v>
      </c>
      <c r="B48" s="6">
        <f t="shared" si="2"/>
        <v>15.84</v>
      </c>
    </row>
    <row r="49" spans="1:4">
      <c r="A49">
        <f t="shared" si="0"/>
        <v>36</v>
      </c>
      <c r="B49" s="6">
        <f t="shared" si="2"/>
        <v>15.83</v>
      </c>
    </row>
    <row r="50" spans="1:4">
      <c r="A50">
        <f t="shared" si="0"/>
        <v>37</v>
      </c>
      <c r="B50" s="6">
        <f t="shared" si="2"/>
        <v>15.82</v>
      </c>
    </row>
    <row r="51" spans="1:4">
      <c r="A51">
        <f t="shared" si="0"/>
        <v>38</v>
      </c>
      <c r="B51" s="6">
        <f t="shared" si="2"/>
        <v>15.81</v>
      </c>
    </row>
    <row r="52" spans="1:4">
      <c r="A52">
        <f t="shared" si="0"/>
        <v>39</v>
      </c>
      <c r="B52" s="11">
        <v>15.8</v>
      </c>
      <c r="C52" s="10" t="s">
        <v>26</v>
      </c>
      <c r="D52" s="4"/>
    </row>
    <row r="53" spans="1:4">
      <c r="A53">
        <f t="shared" si="0"/>
        <v>40</v>
      </c>
      <c r="B53" s="6">
        <f t="shared" ref="B53:B61" si="3">B52+($B$52-$B$62)/($A$52-$A$62)</f>
        <v>15.94</v>
      </c>
    </row>
    <row r="54" spans="1:4">
      <c r="A54">
        <f t="shared" si="0"/>
        <v>41</v>
      </c>
      <c r="B54" s="6">
        <f t="shared" si="3"/>
        <v>16.079999999999998</v>
      </c>
    </row>
    <row r="55" spans="1:4">
      <c r="A55">
        <f t="shared" si="0"/>
        <v>42</v>
      </c>
      <c r="B55" s="6">
        <f t="shared" si="3"/>
        <v>16.22</v>
      </c>
    </row>
    <row r="56" spans="1:4">
      <c r="A56">
        <f t="shared" si="0"/>
        <v>43</v>
      </c>
      <c r="B56" s="6">
        <f t="shared" si="3"/>
        <v>16.36</v>
      </c>
    </row>
    <row r="57" spans="1:4">
      <c r="A57">
        <f t="shared" si="0"/>
        <v>44</v>
      </c>
      <c r="B57" s="6">
        <f t="shared" si="3"/>
        <v>16.5</v>
      </c>
    </row>
    <row r="58" spans="1:4">
      <c r="A58">
        <f t="shared" si="0"/>
        <v>45</v>
      </c>
      <c r="B58" s="6">
        <f t="shared" si="3"/>
        <v>16.64</v>
      </c>
    </row>
    <row r="59" spans="1:4">
      <c r="A59">
        <f t="shared" si="0"/>
        <v>46</v>
      </c>
      <c r="B59" s="6">
        <f t="shared" si="3"/>
        <v>16.78</v>
      </c>
    </row>
    <row r="60" spans="1:4">
      <c r="A60">
        <f t="shared" si="0"/>
        <v>47</v>
      </c>
      <c r="B60" s="6">
        <f t="shared" si="3"/>
        <v>16.920000000000002</v>
      </c>
    </row>
    <row r="61" spans="1:4">
      <c r="A61">
        <f t="shared" si="0"/>
        <v>48</v>
      </c>
      <c r="B61" s="6">
        <f t="shared" si="3"/>
        <v>17.059999999999999</v>
      </c>
    </row>
    <row r="62" spans="1:4">
      <c r="A62">
        <f t="shared" si="0"/>
        <v>49</v>
      </c>
      <c r="B62" s="11">
        <v>17.2</v>
      </c>
      <c r="C62" s="10" t="s">
        <v>27</v>
      </c>
      <c r="D62" s="4"/>
    </row>
    <row r="63" spans="1:4">
      <c r="A63">
        <f t="shared" si="0"/>
        <v>50</v>
      </c>
      <c r="B63" s="6">
        <f t="shared" ref="B63:B71" si="4">B62+($B$62-$B$72)/($A$62-$A$72)</f>
        <v>17.239999999999998</v>
      </c>
    </row>
    <row r="64" spans="1:4">
      <c r="A64">
        <f t="shared" si="0"/>
        <v>51</v>
      </c>
      <c r="B64" s="6">
        <f t="shared" si="4"/>
        <v>17.28</v>
      </c>
    </row>
    <row r="65" spans="1:4">
      <c r="A65">
        <f t="shared" si="0"/>
        <v>52</v>
      </c>
      <c r="B65" s="6">
        <f t="shared" si="4"/>
        <v>17.32</v>
      </c>
    </row>
    <row r="66" spans="1:4">
      <c r="A66">
        <f t="shared" si="0"/>
        <v>53</v>
      </c>
      <c r="B66" s="6">
        <f t="shared" si="4"/>
        <v>17.36</v>
      </c>
    </row>
    <row r="67" spans="1:4">
      <c r="A67">
        <f t="shared" si="0"/>
        <v>54</v>
      </c>
      <c r="B67" s="6">
        <f t="shared" si="4"/>
        <v>17.399999999999999</v>
      </c>
    </row>
    <row r="68" spans="1:4">
      <c r="A68">
        <f t="shared" si="0"/>
        <v>55</v>
      </c>
      <c r="B68" s="6">
        <f t="shared" si="4"/>
        <v>17.440000000000001</v>
      </c>
    </row>
    <row r="69" spans="1:4">
      <c r="A69">
        <f t="shared" si="0"/>
        <v>56</v>
      </c>
      <c r="B69" s="6">
        <f t="shared" si="4"/>
        <v>17.48</v>
      </c>
    </row>
    <row r="70" spans="1:4">
      <c r="A70">
        <f t="shared" si="0"/>
        <v>57</v>
      </c>
      <c r="B70" s="6">
        <f t="shared" si="4"/>
        <v>17.52</v>
      </c>
    </row>
    <row r="71" spans="1:4">
      <c r="A71">
        <f t="shared" si="0"/>
        <v>58</v>
      </c>
      <c r="B71" s="6">
        <f t="shared" si="4"/>
        <v>17.559999999999999</v>
      </c>
    </row>
    <row r="72" spans="1:4">
      <c r="A72">
        <f t="shared" si="0"/>
        <v>59</v>
      </c>
      <c r="B72" s="11">
        <v>17.600000000000001</v>
      </c>
      <c r="C72" s="10" t="s">
        <v>28</v>
      </c>
      <c r="D72" s="4"/>
    </row>
    <row r="73" spans="1:4">
      <c r="A73">
        <f t="shared" si="0"/>
        <v>60</v>
      </c>
      <c r="B73" s="6">
        <f t="shared" ref="B73:B81" si="5">B72+($B$72-$B$82)/($A$72-$A$82)</f>
        <v>17.57</v>
      </c>
    </row>
    <row r="74" spans="1:4">
      <c r="A74">
        <f t="shared" si="0"/>
        <v>61</v>
      </c>
      <c r="B74" s="6">
        <f t="shared" si="5"/>
        <v>17.54</v>
      </c>
    </row>
    <row r="75" spans="1:4">
      <c r="A75">
        <f t="shared" si="0"/>
        <v>62</v>
      </c>
      <c r="B75" s="6">
        <f t="shared" si="5"/>
        <v>17.510000000000002</v>
      </c>
    </row>
    <row r="76" spans="1:4">
      <c r="A76">
        <f t="shared" si="0"/>
        <v>63</v>
      </c>
      <c r="B76" s="6">
        <f t="shared" si="5"/>
        <v>17.48</v>
      </c>
    </row>
    <row r="77" spans="1:4">
      <c r="A77">
        <f t="shared" si="0"/>
        <v>64</v>
      </c>
      <c r="B77" s="6">
        <f t="shared" si="5"/>
        <v>17.45</v>
      </c>
    </row>
    <row r="78" spans="1:4">
      <c r="A78">
        <f t="shared" si="0"/>
        <v>65</v>
      </c>
      <c r="B78" s="6">
        <f t="shared" si="5"/>
        <v>17.420000000000002</v>
      </c>
    </row>
    <row r="79" spans="1:4">
      <c r="A79">
        <f t="shared" si="0"/>
        <v>66</v>
      </c>
      <c r="B79" s="6">
        <f t="shared" si="5"/>
        <v>17.39</v>
      </c>
    </row>
    <row r="80" spans="1:4">
      <c r="A80">
        <f t="shared" si="0"/>
        <v>67</v>
      </c>
      <c r="B80" s="6">
        <f t="shared" si="5"/>
        <v>17.36</v>
      </c>
    </row>
    <row r="81" spans="1:4">
      <c r="A81">
        <f t="shared" si="0"/>
        <v>68</v>
      </c>
      <c r="B81" s="6">
        <f t="shared" si="5"/>
        <v>17.329999999999998</v>
      </c>
    </row>
    <row r="82" spans="1:4">
      <c r="A82">
        <f t="shared" si="0"/>
        <v>69</v>
      </c>
      <c r="B82" s="11">
        <v>17.3</v>
      </c>
      <c r="C82" s="10" t="s">
        <v>29</v>
      </c>
      <c r="D82" s="4"/>
    </row>
    <row r="83" spans="1:4">
      <c r="A83">
        <f t="shared" si="0"/>
        <v>70</v>
      </c>
      <c r="B83" s="6">
        <f t="shared" ref="B83:B91" si="6">B82+($B$82-$B$92)/($A$82-$A$92)</f>
        <v>17.2</v>
      </c>
    </row>
    <row r="84" spans="1:4">
      <c r="A84">
        <f t="shared" si="0"/>
        <v>71</v>
      </c>
      <c r="B84" s="6">
        <f t="shared" si="6"/>
        <v>17.100000000000001</v>
      </c>
    </row>
    <row r="85" spans="1:4">
      <c r="A85">
        <f t="shared" si="0"/>
        <v>72</v>
      </c>
      <c r="B85" s="6">
        <f t="shared" si="6"/>
        <v>17</v>
      </c>
    </row>
    <row r="86" spans="1:4">
      <c r="A86">
        <f t="shared" si="0"/>
        <v>73</v>
      </c>
      <c r="B86" s="6">
        <f t="shared" si="6"/>
        <v>16.899999999999999</v>
      </c>
    </row>
    <row r="87" spans="1:4">
      <c r="A87">
        <f t="shared" si="0"/>
        <v>74</v>
      </c>
      <c r="B87" s="6">
        <f t="shared" si="6"/>
        <v>16.8</v>
      </c>
    </row>
    <row r="88" spans="1:4">
      <c r="A88">
        <f t="shared" si="0"/>
        <v>75</v>
      </c>
      <c r="B88" s="6">
        <f t="shared" si="6"/>
        <v>16.7</v>
      </c>
    </row>
    <row r="89" spans="1:4">
      <c r="A89">
        <f t="shared" si="0"/>
        <v>76</v>
      </c>
      <c r="B89" s="6">
        <f t="shared" si="6"/>
        <v>16.600000000000001</v>
      </c>
    </row>
    <row r="90" spans="1:4">
      <c r="A90">
        <f t="shared" ref="A90:A113" si="7">A89+1</f>
        <v>77</v>
      </c>
      <c r="B90" s="6">
        <f t="shared" si="6"/>
        <v>16.5</v>
      </c>
    </row>
    <row r="91" spans="1:4">
      <c r="A91">
        <f t="shared" si="7"/>
        <v>78</v>
      </c>
      <c r="B91" s="6">
        <f t="shared" si="6"/>
        <v>16.399999999999999</v>
      </c>
    </row>
    <row r="92" spans="1:4">
      <c r="A92">
        <f t="shared" si="7"/>
        <v>79</v>
      </c>
      <c r="B92" s="11">
        <v>16.3</v>
      </c>
      <c r="C92" s="10" t="s">
        <v>30</v>
      </c>
      <c r="D92" s="4"/>
    </row>
    <row r="93" spans="1:4">
      <c r="A93">
        <f t="shared" si="7"/>
        <v>80</v>
      </c>
      <c r="B93" s="6">
        <f t="shared" ref="B93:B113" si="8">B92+($B$92-$B$114)/($A$92-$A$114)</f>
        <v>16.27</v>
      </c>
    </row>
    <row r="94" spans="1:4">
      <c r="A94">
        <f t="shared" si="7"/>
        <v>81</v>
      </c>
      <c r="B94" s="6">
        <f t="shared" si="8"/>
        <v>16.239999999999998</v>
      </c>
    </row>
    <row r="95" spans="1:4">
      <c r="A95">
        <f t="shared" si="7"/>
        <v>82</v>
      </c>
      <c r="B95" s="6">
        <f t="shared" si="8"/>
        <v>16.21</v>
      </c>
    </row>
    <row r="96" spans="1:4">
      <c r="A96">
        <f t="shared" si="7"/>
        <v>83</v>
      </c>
      <c r="B96" s="6">
        <f t="shared" si="8"/>
        <v>16.18</v>
      </c>
    </row>
    <row r="97" spans="1:2">
      <c r="A97">
        <f t="shared" si="7"/>
        <v>84</v>
      </c>
      <c r="B97" s="6">
        <f t="shared" si="8"/>
        <v>16.149999999999999</v>
      </c>
    </row>
    <row r="98" spans="1:2">
      <c r="A98">
        <f t="shared" si="7"/>
        <v>85</v>
      </c>
      <c r="B98" s="6">
        <f t="shared" si="8"/>
        <v>16.12</v>
      </c>
    </row>
    <row r="99" spans="1:2">
      <c r="A99">
        <f t="shared" si="7"/>
        <v>86</v>
      </c>
      <c r="B99" s="6">
        <f t="shared" si="8"/>
        <v>16.09</v>
      </c>
    </row>
    <row r="100" spans="1:2">
      <c r="A100">
        <f t="shared" si="7"/>
        <v>87</v>
      </c>
      <c r="B100" s="6">
        <f t="shared" si="8"/>
        <v>16.059999999999999</v>
      </c>
    </row>
    <row r="101" spans="1:2">
      <c r="A101">
        <f t="shared" si="7"/>
        <v>88</v>
      </c>
      <c r="B101" s="6">
        <f t="shared" si="8"/>
        <v>16.03</v>
      </c>
    </row>
    <row r="102" spans="1:2">
      <c r="A102">
        <f t="shared" si="7"/>
        <v>89</v>
      </c>
      <c r="B102" s="6">
        <f t="shared" si="8"/>
        <v>16</v>
      </c>
    </row>
    <row r="103" spans="1:2">
      <c r="A103">
        <f t="shared" si="7"/>
        <v>90</v>
      </c>
      <c r="B103" s="6">
        <f t="shared" si="8"/>
        <v>15.97</v>
      </c>
    </row>
    <row r="104" spans="1:2">
      <c r="A104">
        <f t="shared" si="7"/>
        <v>91</v>
      </c>
      <c r="B104" s="6">
        <f t="shared" si="8"/>
        <v>15.94</v>
      </c>
    </row>
    <row r="105" spans="1:2">
      <c r="A105">
        <f t="shared" si="7"/>
        <v>92</v>
      </c>
      <c r="B105" s="6">
        <f t="shared" si="8"/>
        <v>15.91</v>
      </c>
    </row>
    <row r="106" spans="1:2">
      <c r="A106">
        <f t="shared" si="7"/>
        <v>93</v>
      </c>
      <c r="B106" s="6">
        <f t="shared" si="8"/>
        <v>15.88</v>
      </c>
    </row>
    <row r="107" spans="1:2">
      <c r="A107">
        <f t="shared" si="7"/>
        <v>94</v>
      </c>
      <c r="B107" s="6">
        <f t="shared" si="8"/>
        <v>15.85</v>
      </c>
    </row>
    <row r="108" spans="1:2">
      <c r="A108">
        <f t="shared" si="7"/>
        <v>95</v>
      </c>
      <c r="B108" s="6">
        <f t="shared" si="8"/>
        <v>15.82</v>
      </c>
    </row>
    <row r="109" spans="1:2">
      <c r="A109">
        <f t="shared" si="7"/>
        <v>96</v>
      </c>
      <c r="B109" s="6">
        <f t="shared" si="8"/>
        <v>15.79</v>
      </c>
    </row>
    <row r="110" spans="1:2">
      <c r="A110">
        <f t="shared" si="7"/>
        <v>97</v>
      </c>
      <c r="B110" s="6">
        <f t="shared" si="8"/>
        <v>15.76</v>
      </c>
    </row>
    <row r="111" spans="1:2">
      <c r="A111">
        <f t="shared" si="7"/>
        <v>98</v>
      </c>
      <c r="B111" s="6">
        <f t="shared" si="8"/>
        <v>15.73</v>
      </c>
    </row>
    <row r="112" spans="1:2">
      <c r="A112">
        <f t="shared" si="7"/>
        <v>99</v>
      </c>
      <c r="B112" s="6">
        <f t="shared" si="8"/>
        <v>15.7</v>
      </c>
    </row>
    <row r="113" spans="1:4">
      <c r="A113">
        <f t="shared" si="7"/>
        <v>100</v>
      </c>
      <c r="B113" s="6">
        <f t="shared" si="8"/>
        <v>15.67</v>
      </c>
    </row>
    <row r="114" spans="1:4">
      <c r="A114">
        <v>101</v>
      </c>
      <c r="B114" s="11">
        <v>15.6</v>
      </c>
      <c r="C114" s="10" t="s">
        <v>31</v>
      </c>
      <c r="D114" s="5"/>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CFBE-ACF8-4845-A13A-30A4265512D7}">
  <dimension ref="A1:O19"/>
  <sheetViews>
    <sheetView workbookViewId="0">
      <selection activeCell="D24" sqref="D24"/>
    </sheetView>
  </sheetViews>
  <sheetFormatPr defaultRowHeight="14.5"/>
  <cols>
    <col min="3" max="3" width="13.1796875" bestFit="1" customWidth="1"/>
    <col min="4" max="4" width="10.1796875" bestFit="1" customWidth="1"/>
    <col min="5" max="5" width="13.7265625" bestFit="1" customWidth="1"/>
    <col min="6" max="6" width="10.81640625" bestFit="1" customWidth="1"/>
    <col min="7" max="8" width="10.81640625" customWidth="1"/>
    <col min="9" max="9" width="12.81640625" bestFit="1" customWidth="1"/>
    <col min="10" max="10" width="10.1796875" bestFit="1" customWidth="1"/>
    <col min="11" max="11" width="13.54296875" bestFit="1" customWidth="1"/>
    <col min="12" max="12" width="10.7265625" bestFit="1" customWidth="1"/>
    <col min="13" max="14" width="10.7265625" customWidth="1"/>
  </cols>
  <sheetData>
    <row r="1" spans="1:15">
      <c r="A1" t="s">
        <v>2</v>
      </c>
      <c r="B1" t="s">
        <v>46</v>
      </c>
      <c r="C1" t="s">
        <v>49</v>
      </c>
      <c r="D1" t="s">
        <v>50</v>
      </c>
      <c r="E1" t="s">
        <v>47</v>
      </c>
      <c r="F1" t="s">
        <v>48</v>
      </c>
      <c r="G1" t="s">
        <v>55</v>
      </c>
      <c r="H1" t="s">
        <v>56</v>
      </c>
      <c r="I1" t="s">
        <v>53</v>
      </c>
      <c r="J1" t="s">
        <v>54</v>
      </c>
      <c r="K1" t="s">
        <v>51</v>
      </c>
      <c r="L1" t="s">
        <v>52</v>
      </c>
      <c r="M1" t="s">
        <v>57</v>
      </c>
      <c r="N1" t="s">
        <v>58</v>
      </c>
      <c r="O1" t="s">
        <v>13</v>
      </c>
    </row>
    <row r="2" spans="1:15">
      <c r="A2" t="s">
        <v>3</v>
      </c>
      <c r="B2" s="13" t="s">
        <v>71</v>
      </c>
      <c r="C2">
        <v>0</v>
      </c>
      <c r="D2">
        <v>0</v>
      </c>
      <c r="E2">
        <v>0</v>
      </c>
      <c r="F2">
        <v>0</v>
      </c>
      <c r="G2">
        <v>0</v>
      </c>
      <c r="H2">
        <v>0</v>
      </c>
      <c r="I2">
        <v>0</v>
      </c>
      <c r="J2">
        <v>0</v>
      </c>
      <c r="K2">
        <v>0</v>
      </c>
      <c r="L2">
        <v>0</v>
      </c>
      <c r="M2">
        <v>0</v>
      </c>
      <c r="N2">
        <v>0</v>
      </c>
      <c r="O2" t="s">
        <v>72</v>
      </c>
    </row>
    <row r="3" spans="1:15">
      <c r="A3" t="s">
        <v>4</v>
      </c>
      <c r="B3" s="13" t="s">
        <v>71</v>
      </c>
      <c r="C3">
        <v>0</v>
      </c>
      <c r="D3">
        <v>0</v>
      </c>
      <c r="E3">
        <v>0</v>
      </c>
      <c r="F3">
        <v>0</v>
      </c>
      <c r="G3">
        <v>0</v>
      </c>
      <c r="H3">
        <v>0</v>
      </c>
      <c r="I3">
        <v>0</v>
      </c>
      <c r="J3">
        <v>0</v>
      </c>
      <c r="K3">
        <v>0</v>
      </c>
      <c r="L3">
        <v>0</v>
      </c>
      <c r="M3">
        <v>0</v>
      </c>
      <c r="N3">
        <v>0</v>
      </c>
      <c r="O3" t="s">
        <v>72</v>
      </c>
    </row>
    <row r="4" spans="1:15">
      <c r="A4" t="s">
        <v>36</v>
      </c>
      <c r="B4" s="13" t="s">
        <v>71</v>
      </c>
      <c r="C4">
        <v>0</v>
      </c>
      <c r="D4">
        <v>0</v>
      </c>
      <c r="E4">
        <v>0</v>
      </c>
      <c r="F4">
        <v>0</v>
      </c>
      <c r="G4">
        <v>0</v>
      </c>
      <c r="H4">
        <v>0</v>
      </c>
      <c r="I4">
        <v>0</v>
      </c>
      <c r="J4">
        <v>0</v>
      </c>
      <c r="K4">
        <v>0</v>
      </c>
      <c r="L4">
        <v>0</v>
      </c>
      <c r="M4">
        <v>0</v>
      </c>
      <c r="N4">
        <v>0</v>
      </c>
      <c r="O4" t="s">
        <v>72</v>
      </c>
    </row>
    <row r="5" spans="1:15">
      <c r="A5" t="s">
        <v>35</v>
      </c>
      <c r="B5" s="13" t="s">
        <v>71</v>
      </c>
      <c r="C5">
        <v>0</v>
      </c>
      <c r="D5">
        <v>0</v>
      </c>
      <c r="E5">
        <v>0</v>
      </c>
      <c r="F5">
        <v>0</v>
      </c>
      <c r="G5">
        <v>0</v>
      </c>
      <c r="H5">
        <v>0</v>
      </c>
      <c r="I5">
        <v>0</v>
      </c>
      <c r="J5">
        <v>0</v>
      </c>
      <c r="K5">
        <v>0</v>
      </c>
      <c r="L5">
        <v>0</v>
      </c>
      <c r="M5">
        <v>0</v>
      </c>
      <c r="N5">
        <v>0</v>
      </c>
      <c r="O5" t="s">
        <v>72</v>
      </c>
    </row>
    <row r="6" spans="1:15">
      <c r="A6" t="s">
        <v>6</v>
      </c>
      <c r="B6" s="13" t="s">
        <v>71</v>
      </c>
      <c r="C6">
        <v>0</v>
      </c>
      <c r="D6">
        <v>0</v>
      </c>
      <c r="E6">
        <v>0</v>
      </c>
      <c r="F6">
        <v>0</v>
      </c>
      <c r="G6">
        <v>0</v>
      </c>
      <c r="H6">
        <v>0</v>
      </c>
      <c r="I6">
        <v>0</v>
      </c>
      <c r="J6">
        <v>0</v>
      </c>
      <c r="K6">
        <v>0</v>
      </c>
      <c r="L6">
        <v>0</v>
      </c>
      <c r="M6">
        <v>0</v>
      </c>
      <c r="N6">
        <v>0</v>
      </c>
      <c r="O6" t="s">
        <v>72</v>
      </c>
    </row>
    <row r="7" spans="1:15">
      <c r="A7" t="s">
        <v>5</v>
      </c>
      <c r="B7" s="13" t="s">
        <v>71</v>
      </c>
      <c r="C7">
        <v>0</v>
      </c>
      <c r="D7">
        <v>0</v>
      </c>
      <c r="E7">
        <v>0</v>
      </c>
      <c r="F7">
        <v>0</v>
      </c>
      <c r="G7">
        <v>0</v>
      </c>
      <c r="H7">
        <v>0</v>
      </c>
      <c r="I7">
        <v>0</v>
      </c>
      <c r="J7">
        <v>0</v>
      </c>
      <c r="K7">
        <v>0</v>
      </c>
      <c r="L7">
        <v>0</v>
      </c>
      <c r="M7">
        <v>0</v>
      </c>
      <c r="N7">
        <v>0</v>
      </c>
      <c r="O7" t="s">
        <v>72</v>
      </c>
    </row>
    <row r="8" spans="1:15">
      <c r="A8" t="s">
        <v>3</v>
      </c>
      <c r="B8" s="13" t="s">
        <v>64</v>
      </c>
      <c r="C8">
        <v>1.262484175</v>
      </c>
      <c r="D8">
        <v>1.9625904219999999</v>
      </c>
      <c r="E8">
        <v>1.6070603619999999</v>
      </c>
      <c r="F8">
        <v>1.746077326</v>
      </c>
      <c r="G8">
        <f>AVERAGE(C8,E8)</f>
        <v>1.4347722684999999</v>
      </c>
      <c r="H8">
        <f>MAX(D8,F8)</f>
        <v>1.9625904219999999</v>
      </c>
      <c r="I8">
        <v>1.89681023</v>
      </c>
      <c r="J8">
        <v>1.577612638</v>
      </c>
      <c r="K8">
        <v>1.9461781970000001</v>
      </c>
      <c r="L8">
        <v>1.670692354</v>
      </c>
      <c r="M8">
        <f>AVERAGE(I8,K8)</f>
        <v>1.9214942134999999</v>
      </c>
      <c r="N8">
        <f>MAX(J8,L8)</f>
        <v>1.670692354</v>
      </c>
      <c r="O8" t="s">
        <v>37</v>
      </c>
    </row>
    <row r="9" spans="1:15">
      <c r="A9" t="s">
        <v>4</v>
      </c>
      <c r="B9" s="13" t="s">
        <v>64</v>
      </c>
      <c r="C9">
        <v>3.4145560179999999</v>
      </c>
      <c r="D9">
        <v>1.778704356</v>
      </c>
      <c r="E9">
        <v>5.3626243069999999</v>
      </c>
      <c r="F9">
        <v>1.631580381</v>
      </c>
      <c r="G9">
        <f t="shared" ref="G9:G13" si="0">AVERAGE(C9,E9)</f>
        <v>4.3885901624999999</v>
      </c>
      <c r="H9">
        <f t="shared" ref="H9:H13" si="1">MAX(D9,F9)</f>
        <v>1.778704356</v>
      </c>
      <c r="I9">
        <v>3.6990683180000001</v>
      </c>
      <c r="J9">
        <v>1.642339918</v>
      </c>
      <c r="K9">
        <v>4.0677075040000004</v>
      </c>
      <c r="L9">
        <v>1.9103372320000001</v>
      </c>
      <c r="M9">
        <f>AVERAGE(I9,K9)</f>
        <v>3.8833879109999998</v>
      </c>
      <c r="N9">
        <f>MAX(J9,L9)</f>
        <v>1.9103372320000001</v>
      </c>
      <c r="O9" t="s">
        <v>37</v>
      </c>
    </row>
    <row r="10" spans="1:15">
      <c r="A10" t="s">
        <v>36</v>
      </c>
      <c r="B10" s="13" t="s">
        <v>64</v>
      </c>
      <c r="C10">
        <v>0.19600000000000001</v>
      </c>
      <c r="D10">
        <v>2.0459999999999998</v>
      </c>
      <c r="E10">
        <v>0.19</v>
      </c>
      <c r="F10">
        <v>1.86</v>
      </c>
      <c r="G10">
        <f t="shared" si="0"/>
        <v>0.193</v>
      </c>
      <c r="H10">
        <f t="shared" si="1"/>
        <v>2.0459999999999998</v>
      </c>
      <c r="I10">
        <v>0.1</v>
      </c>
      <c r="J10">
        <v>2.379</v>
      </c>
      <c r="K10">
        <v>7.1900000000000006E-2</v>
      </c>
      <c r="L10">
        <v>3.0030000000000001</v>
      </c>
      <c r="M10">
        <f t="shared" ref="M10:M13" si="2">AVERAGE(I10,K10)</f>
        <v>8.5949999999999999E-2</v>
      </c>
      <c r="N10">
        <f t="shared" ref="N10:N13" si="3">MAX(J10,L10)</f>
        <v>3.0030000000000001</v>
      </c>
      <c r="O10" t="s">
        <v>37</v>
      </c>
    </row>
    <row r="11" spans="1:15">
      <c r="A11" t="s">
        <v>35</v>
      </c>
      <c r="B11" s="13" t="s">
        <v>64</v>
      </c>
      <c r="C11">
        <v>7.0999999999999994E-2</v>
      </c>
      <c r="D11">
        <v>1.665</v>
      </c>
      <c r="E11">
        <v>7.0999999999999994E-2</v>
      </c>
      <c r="F11">
        <v>1.665</v>
      </c>
      <c r="G11">
        <f t="shared" si="0"/>
        <v>7.0999999999999994E-2</v>
      </c>
      <c r="H11">
        <f t="shared" si="1"/>
        <v>1.665</v>
      </c>
      <c r="I11">
        <v>3.4000000000000002E-2</v>
      </c>
      <c r="J11">
        <v>3.1640000000000001</v>
      </c>
      <c r="K11">
        <v>3.5000000000000003E-2</v>
      </c>
      <c r="L11">
        <v>2.91</v>
      </c>
      <c r="M11">
        <f t="shared" si="2"/>
        <v>3.4500000000000003E-2</v>
      </c>
      <c r="N11">
        <f t="shared" si="3"/>
        <v>3.1640000000000001</v>
      </c>
      <c r="O11" t="s">
        <v>37</v>
      </c>
    </row>
    <row r="12" spans="1:15">
      <c r="A12" t="s">
        <v>6</v>
      </c>
      <c r="B12" s="13" t="s">
        <v>64</v>
      </c>
      <c r="C12">
        <v>0.80508206800000004</v>
      </c>
      <c r="D12">
        <v>1.8130287089999999</v>
      </c>
      <c r="E12">
        <v>1.4833229539999999</v>
      </c>
      <c r="F12">
        <v>2.1492767430000002</v>
      </c>
      <c r="G12">
        <f t="shared" si="0"/>
        <v>1.144202511</v>
      </c>
      <c r="H12">
        <f t="shared" si="1"/>
        <v>2.1492767430000002</v>
      </c>
      <c r="I12">
        <v>0.75690473700000005</v>
      </c>
      <c r="J12">
        <v>1.9414575780000001</v>
      </c>
      <c r="K12">
        <v>0.93324917500000004</v>
      </c>
      <c r="L12">
        <v>2.1744485839999999</v>
      </c>
      <c r="M12">
        <f t="shared" si="2"/>
        <v>0.84507695599999999</v>
      </c>
      <c r="N12">
        <f t="shared" si="3"/>
        <v>2.1744485839999999</v>
      </c>
      <c r="O12" t="s">
        <v>37</v>
      </c>
    </row>
    <row r="13" spans="1:15">
      <c r="A13" t="s">
        <v>5</v>
      </c>
      <c r="B13" s="13" t="s">
        <v>64</v>
      </c>
      <c r="C13">
        <v>0.38356235100000002</v>
      </c>
      <c r="D13">
        <v>1.6304535309999999</v>
      </c>
      <c r="E13">
        <v>0.441664167</v>
      </c>
      <c r="F13">
        <v>1.640959667</v>
      </c>
      <c r="G13">
        <f t="shared" si="0"/>
        <v>0.41261325900000001</v>
      </c>
      <c r="H13">
        <f t="shared" si="1"/>
        <v>1.640959667</v>
      </c>
      <c r="I13">
        <v>0.75881872100000003</v>
      </c>
      <c r="J13">
        <v>1.8434731010000001</v>
      </c>
      <c r="K13">
        <v>0.82903704300000003</v>
      </c>
      <c r="L13">
        <v>2.14540591</v>
      </c>
      <c r="M13">
        <f t="shared" si="2"/>
        <v>0.79392788199999997</v>
      </c>
      <c r="N13">
        <f t="shared" si="3"/>
        <v>2.14540591</v>
      </c>
      <c r="O13" t="s">
        <v>37</v>
      </c>
    </row>
    <row r="14" spans="1:15">
      <c r="B14" s="13"/>
    </row>
    <row r="15" spans="1:15">
      <c r="B15" s="13"/>
    </row>
    <row r="16" spans="1:15">
      <c r="B16" s="13"/>
    </row>
    <row r="17" spans="2:2">
      <c r="B17" s="13"/>
    </row>
    <row r="18" spans="2:2">
      <c r="B18" s="13"/>
    </row>
    <row r="19" spans="2:2">
      <c r="B19" s="13"/>
    </row>
  </sheetData>
  <sortState xmlns:xlrd2="http://schemas.microsoft.com/office/spreadsheetml/2017/richdata2" ref="A8:O13">
    <sortCondition ref="A10:A13"/>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489B-3B89-4CD1-B18B-E87D83B1D259}">
  <dimension ref="A1:G16"/>
  <sheetViews>
    <sheetView workbookViewId="0">
      <selection activeCell="E12" sqref="E12"/>
    </sheetView>
  </sheetViews>
  <sheetFormatPr defaultRowHeight="14.5"/>
  <cols>
    <col min="6" max="6" width="23.81640625" customWidth="1"/>
  </cols>
  <sheetData>
    <row r="1" spans="1:7">
      <c r="A1" t="s">
        <v>59</v>
      </c>
      <c r="B1" t="s">
        <v>2</v>
      </c>
      <c r="C1" t="s">
        <v>62</v>
      </c>
      <c r="D1" t="s">
        <v>32</v>
      </c>
      <c r="E1" t="s">
        <v>33</v>
      </c>
      <c r="F1" t="s">
        <v>13</v>
      </c>
      <c r="G1" t="s">
        <v>34</v>
      </c>
    </row>
    <row r="2" spans="1:7">
      <c r="A2" t="s">
        <v>61</v>
      </c>
      <c r="B2" t="s">
        <v>3</v>
      </c>
      <c r="C2" t="s">
        <v>1</v>
      </c>
      <c r="D2">
        <v>1.262484175</v>
      </c>
      <c r="E2">
        <v>1.9625904219999999</v>
      </c>
      <c r="F2" t="s">
        <v>37</v>
      </c>
      <c r="G2" t="s">
        <v>1</v>
      </c>
    </row>
    <row r="3" spans="1:7">
      <c r="A3" t="s">
        <v>61</v>
      </c>
      <c r="B3" t="s">
        <v>4</v>
      </c>
      <c r="C3" t="s">
        <v>1</v>
      </c>
      <c r="D3">
        <v>3.4145560179999999</v>
      </c>
      <c r="E3">
        <v>1.778704356</v>
      </c>
      <c r="F3" t="s">
        <v>37</v>
      </c>
      <c r="G3" t="s">
        <v>1</v>
      </c>
    </row>
    <row r="4" spans="1:7">
      <c r="A4" t="s">
        <v>61</v>
      </c>
      <c r="B4" t="s">
        <v>36</v>
      </c>
      <c r="C4" t="s">
        <v>1</v>
      </c>
      <c r="D4">
        <v>0.19600000000000001</v>
      </c>
      <c r="E4">
        <v>2.0459999999999998</v>
      </c>
      <c r="F4" t="s">
        <v>37</v>
      </c>
      <c r="G4" t="s">
        <v>1</v>
      </c>
    </row>
    <row r="5" spans="1:7">
      <c r="A5" t="s">
        <v>61</v>
      </c>
      <c r="B5" t="s">
        <v>35</v>
      </c>
      <c r="C5" t="s">
        <v>1</v>
      </c>
      <c r="D5">
        <v>7.0999999999999994E-2</v>
      </c>
      <c r="E5">
        <v>1.665</v>
      </c>
      <c r="F5" t="s">
        <v>37</v>
      </c>
      <c r="G5" t="s">
        <v>1</v>
      </c>
    </row>
    <row r="6" spans="1:7">
      <c r="A6" t="s">
        <v>61</v>
      </c>
      <c r="B6" t="s">
        <v>6</v>
      </c>
      <c r="C6" t="s">
        <v>1</v>
      </c>
      <c r="D6">
        <v>0.80508206800000004</v>
      </c>
      <c r="E6">
        <v>1.8130287089999999</v>
      </c>
      <c r="F6" t="s">
        <v>37</v>
      </c>
      <c r="G6" t="s">
        <v>1</v>
      </c>
    </row>
    <row r="7" spans="1:7">
      <c r="A7" t="s">
        <v>61</v>
      </c>
      <c r="B7" t="s">
        <v>5</v>
      </c>
      <c r="C7" t="s">
        <v>1</v>
      </c>
      <c r="D7">
        <v>0.38356235100000002</v>
      </c>
      <c r="E7">
        <v>1.6304535309999999</v>
      </c>
      <c r="F7" t="s">
        <v>37</v>
      </c>
      <c r="G7" t="s">
        <v>1</v>
      </c>
    </row>
    <row r="8" spans="1:7">
      <c r="A8" t="s">
        <v>60</v>
      </c>
      <c r="B8" t="s">
        <v>4</v>
      </c>
      <c r="C8" t="s">
        <v>389</v>
      </c>
      <c r="D8">
        <v>1.1631507352319499</v>
      </c>
      <c r="E8">
        <v>0.39221527313765198</v>
      </c>
      <c r="F8" t="s">
        <v>38</v>
      </c>
      <c r="G8" t="s">
        <v>391</v>
      </c>
    </row>
    <row r="9" spans="1:7">
      <c r="A9" t="s">
        <v>60</v>
      </c>
      <c r="B9" t="s">
        <v>3</v>
      </c>
      <c r="C9" t="s">
        <v>389</v>
      </c>
      <c r="D9">
        <v>0.64185384887434205</v>
      </c>
      <c r="E9">
        <v>0.61209324198927995</v>
      </c>
      <c r="F9" t="s">
        <v>38</v>
      </c>
      <c r="G9" t="s">
        <v>391</v>
      </c>
    </row>
    <row r="10" spans="1:7">
      <c r="A10" t="s">
        <v>60</v>
      </c>
      <c r="B10" t="s">
        <v>6</v>
      </c>
      <c r="C10" t="s">
        <v>389</v>
      </c>
      <c r="D10">
        <v>-0.69314500866958795</v>
      </c>
      <c r="E10">
        <v>0.66790943682066295</v>
      </c>
      <c r="F10" t="s">
        <v>38</v>
      </c>
      <c r="G10" t="s">
        <v>391</v>
      </c>
    </row>
    <row r="11" spans="1:7">
      <c r="A11" t="s">
        <v>60</v>
      </c>
      <c r="B11" t="s">
        <v>5</v>
      </c>
      <c r="C11" t="s">
        <v>389</v>
      </c>
      <c r="D11">
        <v>-0.51080124206674005</v>
      </c>
      <c r="E11">
        <v>0.97838302189781301</v>
      </c>
      <c r="F11" t="s">
        <v>38</v>
      </c>
      <c r="G11" t="s">
        <v>391</v>
      </c>
    </row>
    <row r="12" spans="1:7">
      <c r="A12" t="s">
        <v>60</v>
      </c>
      <c r="B12" t="s">
        <v>3</v>
      </c>
      <c r="C12" t="s">
        <v>390</v>
      </c>
      <c r="D12">
        <v>-0.06</v>
      </c>
      <c r="E12">
        <v>0.43</v>
      </c>
      <c r="F12" t="s">
        <v>38</v>
      </c>
      <c r="G12" t="s">
        <v>392</v>
      </c>
    </row>
    <row r="13" spans="1:7">
      <c r="A13" t="s">
        <v>60</v>
      </c>
      <c r="B13" t="s">
        <v>5</v>
      </c>
      <c r="C13" t="s">
        <v>390</v>
      </c>
      <c r="D13">
        <v>-0.96</v>
      </c>
      <c r="E13">
        <v>0.32</v>
      </c>
      <c r="F13" t="s">
        <v>38</v>
      </c>
      <c r="G13" t="s">
        <v>392</v>
      </c>
    </row>
    <row r="14" spans="1:7">
      <c r="A14" t="s">
        <v>60</v>
      </c>
      <c r="B14" t="s">
        <v>36</v>
      </c>
      <c r="C14" t="s">
        <v>390</v>
      </c>
      <c r="D14">
        <v>2.7</v>
      </c>
      <c r="E14">
        <v>0.23</v>
      </c>
      <c r="F14" t="s">
        <v>262</v>
      </c>
      <c r="G14" t="s">
        <v>392</v>
      </c>
    </row>
    <row r="15" spans="1:7">
      <c r="A15" t="s">
        <v>60</v>
      </c>
      <c r="B15" t="s">
        <v>6</v>
      </c>
      <c r="C15" t="s">
        <v>390</v>
      </c>
      <c r="D15">
        <v>-0.65</v>
      </c>
      <c r="E15">
        <v>0.45</v>
      </c>
      <c r="F15" t="s">
        <v>38</v>
      </c>
      <c r="G15" t="s">
        <v>392</v>
      </c>
    </row>
    <row r="16" spans="1:7">
      <c r="A16" t="s">
        <v>60</v>
      </c>
      <c r="B16" t="s">
        <v>4</v>
      </c>
      <c r="C16" t="s">
        <v>390</v>
      </c>
      <c r="D16">
        <v>1.36</v>
      </c>
      <c r="E16">
        <v>0.42</v>
      </c>
      <c r="F16" t="s">
        <v>38</v>
      </c>
      <c r="G16" t="s">
        <v>392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B3A9-6E02-4B32-8CE2-683F6AFF410F}">
  <dimension ref="A1:F1"/>
  <sheetViews>
    <sheetView zoomScaleNormal="100" workbookViewId="0">
      <selection activeCell="A16" sqref="A16"/>
    </sheetView>
  </sheetViews>
  <sheetFormatPr defaultRowHeight="14.5"/>
  <cols>
    <col min="1" max="1" width="56.7265625" bestFit="1" customWidth="1"/>
    <col min="3" max="3" width="12" bestFit="1" customWidth="1"/>
    <col min="4" max="4" width="9.26953125" bestFit="1" customWidth="1"/>
    <col min="7" max="7" width="35.1796875" customWidth="1"/>
  </cols>
  <sheetData>
    <row r="1" spans="1:6">
      <c r="A1" t="s">
        <v>118</v>
      </c>
      <c r="B1" t="s">
        <v>8</v>
      </c>
      <c r="C1" t="s">
        <v>113</v>
      </c>
      <c r="D1" t="s">
        <v>111</v>
      </c>
      <c r="E1" t="s">
        <v>109</v>
      </c>
      <c r="F1" t="s">
        <v>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849FE-D8B6-46A0-B86C-43F4079F7CAC}">
  <dimension ref="A1:K41"/>
  <sheetViews>
    <sheetView zoomScale="70" zoomScaleNormal="70" workbookViewId="0">
      <selection activeCell="C19" sqref="C19"/>
    </sheetView>
  </sheetViews>
  <sheetFormatPr defaultRowHeight="14.5"/>
  <cols>
    <col min="1" max="1" width="44.54296875" bestFit="1" customWidth="1"/>
    <col min="2" max="2" width="22.54296875" customWidth="1"/>
    <col min="3" max="3" width="26.54296875" customWidth="1"/>
    <col min="4" max="4" width="23.26953125" customWidth="1"/>
    <col min="5" max="5" width="11.54296875" bestFit="1" customWidth="1"/>
    <col min="6" max="6" width="23.26953125" customWidth="1"/>
    <col min="7" max="7" width="14.453125" bestFit="1" customWidth="1"/>
    <col min="8" max="8" width="11.54296875" customWidth="1"/>
    <col min="9" max="9" width="10.7265625" bestFit="1" customWidth="1"/>
    <col min="11" max="11" width="25.26953125" customWidth="1"/>
  </cols>
  <sheetData>
    <row r="1" spans="1:11">
      <c r="A1" t="s">
        <v>325</v>
      </c>
      <c r="B1" t="s">
        <v>332</v>
      </c>
      <c r="C1" t="s">
        <v>410</v>
      </c>
      <c r="D1" t="s">
        <v>411</v>
      </c>
      <c r="E1" t="s">
        <v>59</v>
      </c>
      <c r="F1" t="s">
        <v>388</v>
      </c>
      <c r="G1" t="s">
        <v>543</v>
      </c>
      <c r="H1" t="s">
        <v>2</v>
      </c>
      <c r="I1" t="s">
        <v>412</v>
      </c>
      <c r="J1" t="s">
        <v>413</v>
      </c>
      <c r="K1" t="s">
        <v>414</v>
      </c>
    </row>
    <row r="7" spans="1:11">
      <c r="B7" s="14"/>
    </row>
    <row r="8" spans="1:11">
      <c r="B8" s="14"/>
    </row>
    <row r="9" spans="1:11">
      <c r="B9" s="14"/>
    </row>
    <row r="10" spans="1:11">
      <c r="B10" s="14"/>
    </row>
    <row r="11" spans="1:11">
      <c r="B11" s="14"/>
    </row>
    <row r="12" spans="1:11">
      <c r="B12" s="14"/>
    </row>
    <row r="13" spans="1:11">
      <c r="B13" s="14"/>
    </row>
    <row r="14" spans="1:11">
      <c r="B14" s="14"/>
    </row>
    <row r="15" spans="1:11">
      <c r="B15" s="14"/>
    </row>
    <row r="16" spans="1:11">
      <c r="B16" s="14"/>
    </row>
    <row r="17" spans="2:2">
      <c r="B17" s="14"/>
    </row>
    <row r="18" spans="2:2">
      <c r="B18" s="14"/>
    </row>
    <row r="19" spans="2:2">
      <c r="B19" s="14"/>
    </row>
    <row r="20" spans="2:2">
      <c r="B20" s="14"/>
    </row>
    <row r="21" spans="2:2">
      <c r="B21" s="14"/>
    </row>
    <row r="26" spans="2:2">
      <c r="B26" s="14"/>
    </row>
    <row r="27" spans="2:2">
      <c r="B27" s="14"/>
    </row>
    <row r="28" spans="2:2">
      <c r="B28" s="14"/>
    </row>
    <row r="29" spans="2:2">
      <c r="B29" s="14"/>
    </row>
    <row r="30" spans="2:2">
      <c r="B30" s="14"/>
    </row>
    <row r="31" spans="2:2">
      <c r="B31" s="14"/>
    </row>
    <row r="32" spans="2:2">
      <c r="B32" s="14"/>
    </row>
    <row r="33" spans="2:2">
      <c r="B33" s="14"/>
    </row>
    <row r="34" spans="2:2">
      <c r="B34" s="14"/>
    </row>
    <row r="35" spans="2:2">
      <c r="B35" s="14"/>
    </row>
    <row r="36" spans="2:2">
      <c r="B36" s="14"/>
    </row>
    <row r="37" spans="2:2">
      <c r="B37" s="14"/>
    </row>
    <row r="38" spans="2:2">
      <c r="B38" s="14"/>
    </row>
    <row r="39" spans="2:2">
      <c r="B39" s="14"/>
    </row>
    <row r="40" spans="2:2">
      <c r="B40" s="14"/>
    </row>
    <row r="41" spans="2:2">
      <c r="B41" s="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Scenario</vt:lpstr>
      <vt:lpstr>ScenSummary</vt:lpstr>
      <vt:lpstr>FitDistInfo</vt:lpstr>
      <vt:lpstr>ProjectionInfo</vt:lpstr>
      <vt:lpstr>AgeInfo</vt:lpstr>
      <vt:lpstr>MonteCarlo</vt:lpstr>
      <vt:lpstr>DWI</vt:lpstr>
      <vt:lpstr>BkgdSerum</vt:lpstr>
      <vt:lpstr>MatSerum</vt:lpstr>
      <vt:lpstr>AltParams</vt:lpstr>
      <vt:lpstr>EvalInfo</vt:lpstr>
    </vt:vector>
  </TitlesOfParts>
  <Company>Abt Associates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Sokolinski</dc:creator>
  <cp:lastModifiedBy>Spady, Emma S (DEP)</cp:lastModifiedBy>
  <dcterms:created xsi:type="dcterms:W3CDTF">2019-08-23T16:19:48Z</dcterms:created>
  <dcterms:modified xsi:type="dcterms:W3CDTF">2025-11-06T21:15:04Z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0f445f3f-3219-411e-8595-630a1d1c0e3c</vt:lpwstr>
  </property>
</Properties>
</file>